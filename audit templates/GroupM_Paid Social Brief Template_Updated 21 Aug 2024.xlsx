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herilynn.desilva\Downloads\"/>
    </mc:Choice>
  </mc:AlternateContent>
  <xr:revisionPtr revIDLastSave="0" documentId="8_{EB1C6D23-439E-44AF-A059-D03079DEFE4E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Campaign Brief Template" sheetId="1" r:id="rId1"/>
    <sheet name="Tactical Reco Template" sheetId="2" r:id="rId2"/>
    <sheet name="Tags" sheetId="6" r:id="rId3"/>
    <sheet name="Creative Intake Template" sheetId="3" r:id="rId4"/>
    <sheet name="Sheet5" sheetId="5" state="hidden" r:id="rId5"/>
    <sheet name="Sheet1" sheetId="8" state="hidden" r:id="rId6"/>
    <sheet name="Launch Checklist" sheetId="7" state="hidden" r:id="rId7"/>
  </sheets>
  <definedNames>
    <definedName name="_xlnm.Print_Area" localSheetId="0">'Campaign Brief Template'!#REF!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9" i="2" l="1"/>
  <c r="C16" i="2"/>
  <c r="C10" i="2"/>
  <c r="C7" i="2"/>
  <c r="H7" i="2" l="1"/>
  <c r="B19" i="2" l="1"/>
  <c r="B16" i="2"/>
  <c r="B10" i="2"/>
  <c r="B7" i="2"/>
  <c r="C1" i="2"/>
  <c r="C3" i="6"/>
  <c r="C2" i="6"/>
  <c r="C1" i="6"/>
  <c r="L8" i="3"/>
  <c r="L9" i="3"/>
  <c r="L10" i="3"/>
  <c r="L7" i="3"/>
  <c r="J8" i="3"/>
  <c r="J9" i="3"/>
  <c r="J10" i="3"/>
  <c r="J7" i="3"/>
  <c r="H8" i="3"/>
  <c r="H9" i="3"/>
  <c r="H10" i="3"/>
  <c r="H7" i="3"/>
  <c r="C3" i="2"/>
  <c r="C2" i="2"/>
  <c r="N7" i="2"/>
  <c r="H10" i="2"/>
  <c r="E8" i="2"/>
  <c r="E7" i="2"/>
  <c r="D10" i="2"/>
  <c r="D7" i="2"/>
  <c r="E17" i="2"/>
  <c r="E16" i="2"/>
  <c r="D19" i="2"/>
  <c r="D16" i="2"/>
  <c r="J19" i="2"/>
  <c r="J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Donna Chong</author>
    <author>Cherilynn DeSilva</author>
  </authors>
  <commentList>
    <comment ref="F11" authorId="0" shapeId="0" xr:uid="{F9BDD2A5-21A3-4D35-B086-021FA1076964}">
      <text>
        <r>
          <rPr>
            <b/>
            <sz val="9"/>
            <color indexed="81"/>
            <rFont val="Tahoma"/>
            <family val="2"/>
          </rPr>
          <t>Donna Chong:</t>
        </r>
        <r>
          <rPr>
            <sz val="9"/>
            <color indexed="81"/>
            <rFont val="Tahoma"/>
            <family val="2"/>
          </rPr>
          <t xml:space="preserve">
Excluding Agency Commission &amp; SST</t>
        </r>
      </text>
    </comment>
    <comment ref="F17" authorId="0" shapeId="0" xr:uid="{2A696BB4-37F3-44F7-A9C2-52622D43E037}">
      <text>
        <r>
          <rPr>
            <b/>
            <sz val="9"/>
            <color indexed="81"/>
            <rFont val="Tahoma"/>
            <family val="2"/>
          </rPr>
          <t xml:space="preserve">Donna Chong:
</t>
        </r>
        <r>
          <rPr>
            <sz val="9"/>
            <color indexed="81"/>
            <rFont val="Tahoma"/>
            <family val="2"/>
          </rPr>
          <t>If this campaign need to be tagged under e-commerce spend in symphony, please indicate "yes"</t>
        </r>
      </text>
    </comment>
    <comment ref="G23" authorId="0" shapeId="0" xr:uid="{15ED93B0-CAE9-41E8-B9ED-7E201A000878}">
      <text>
        <r>
          <rPr>
            <b/>
            <sz val="9"/>
            <color indexed="81"/>
            <rFont val="Tahoma"/>
            <family val="2"/>
          </rPr>
          <t>Donna Chong:</t>
        </r>
        <r>
          <rPr>
            <sz val="9"/>
            <color indexed="81"/>
            <rFont val="Tahoma"/>
            <family val="2"/>
          </rPr>
          <t xml:space="preserve">
Please indicate the platform curreny here, e.g. TikTok will be USD
</t>
        </r>
      </text>
    </comment>
    <comment ref="G24" authorId="0" shapeId="0" xr:uid="{339A0422-33E9-43E7-866A-79674E223F54}">
      <text>
        <r>
          <rPr>
            <b/>
            <sz val="9"/>
            <color indexed="81"/>
            <rFont val="Tahoma"/>
            <family val="2"/>
          </rPr>
          <t>Donna Chong:</t>
        </r>
        <r>
          <rPr>
            <sz val="9"/>
            <color indexed="81"/>
            <rFont val="Tahoma"/>
            <family val="2"/>
          </rPr>
          <t xml:space="preserve">
Please indicate the currency exchange rate to be used when converting foreign currency into MYR</t>
        </r>
      </text>
    </comment>
    <comment ref="F78" authorId="0" shapeId="0" xr:uid="{CE29E4E3-B95E-4FAA-AAD5-0798D50A1CD0}">
      <text>
        <r>
          <rPr>
            <b/>
            <sz val="9"/>
            <color indexed="81"/>
            <rFont val="Tahoma"/>
            <family val="2"/>
          </rPr>
          <t xml:space="preserve">Donna Chong:
Not all campaign types support frequency setting, you may check the eligibility from the following links provided
</t>
        </r>
        <r>
          <rPr>
            <sz val="9"/>
            <color indexed="81"/>
            <rFont val="Tahoma"/>
            <family val="2"/>
          </rPr>
          <t xml:space="preserve">
https://business.twitter.com/en/help/campaign-setup/frequency-caps.html 
https://www.facebook.com/business/m/one-sheeters/controlling-frequency-on-facebook 
TikTok: Reach campaign only</t>
        </r>
      </text>
    </comment>
    <comment ref="A85" authorId="1" shapeId="0" xr:uid="{6020D8CA-6681-44A4-BD6D-263300829062}">
      <text>
        <r>
          <rPr>
            <b/>
            <sz val="9"/>
            <color indexed="81"/>
            <rFont val="Tahoma"/>
            <family val="2"/>
          </rPr>
          <t>Cherilynn DeSilva:</t>
        </r>
        <r>
          <rPr>
            <sz val="9"/>
            <color indexed="81"/>
            <rFont val="Tahoma"/>
            <family val="2"/>
          </rPr>
          <t xml:space="preserve">
For auto placements, kindly opt out in selecting the placements below</t>
        </r>
      </text>
    </comment>
    <comment ref="A86" authorId="1" shapeId="0" xr:uid="{83F1FE0E-281E-4723-8769-0166502F5E88}">
      <text>
        <r>
          <rPr>
            <b/>
            <sz val="9"/>
            <color indexed="81"/>
            <rFont val="Tahoma"/>
            <family val="2"/>
          </rPr>
          <t>Cherilynn DeSilva:</t>
        </r>
        <r>
          <rPr>
            <sz val="9"/>
            <color indexed="81"/>
            <rFont val="Tahoma"/>
            <family val="2"/>
          </rPr>
          <t xml:space="preserve">
Please select applicable placements below</t>
        </r>
      </text>
    </comment>
    <comment ref="A123" authorId="0" shapeId="0" xr:uid="{C66404F6-B92F-4611-84DC-03DA36CEA912}">
      <text>
        <r>
          <rPr>
            <b/>
            <sz val="9"/>
            <color indexed="81"/>
            <rFont val="Tahoma"/>
            <family val="2"/>
          </rPr>
          <t>Donna Chong:</t>
        </r>
        <r>
          <rPr>
            <sz val="9"/>
            <color indexed="81"/>
            <rFont val="Tahoma"/>
            <family val="2"/>
          </rPr>
          <t xml:space="preserve">
Linked ad placement follows the campaign objective and ad format chosen
https://www.linkedin.com/help/lms/answer/719/ad-placement-on-linkedin?lang=en</t>
        </r>
      </text>
    </comment>
    <comment ref="A124" authorId="0" shapeId="0" xr:uid="{2A104299-8BBC-45EA-8D2D-1B9E5B1573B7}">
      <text>
        <r>
          <rPr>
            <b/>
            <sz val="9"/>
            <color indexed="81"/>
            <rFont val="Tahoma"/>
            <family val="2"/>
          </rPr>
          <t>Donna Chong:</t>
        </r>
        <r>
          <rPr>
            <sz val="9"/>
            <color indexed="81"/>
            <rFont val="Tahoma"/>
            <family val="2"/>
          </rPr>
          <t xml:space="preserve">
LinkedIn's partner apps and websites</t>
        </r>
      </text>
    </comment>
    <comment ref="A127" authorId="0" shapeId="0" xr:uid="{57782B62-53CE-40BE-BFE8-8D26F80577FB}">
      <text>
        <r>
          <rPr>
            <b/>
            <sz val="9"/>
            <color indexed="81"/>
            <rFont val="Tahoma"/>
            <family val="2"/>
          </rPr>
          <t>Donna Chong:</t>
        </r>
        <r>
          <rPr>
            <sz val="9"/>
            <color indexed="81"/>
            <rFont val="Tahoma"/>
            <family val="2"/>
          </rPr>
          <t xml:space="preserve">
https://ads.tiktok.com/help/article?aid=9587</t>
        </r>
      </text>
    </comment>
  </commentList>
</comments>
</file>

<file path=xl/sharedStrings.xml><?xml version="1.0" encoding="utf-8"?>
<sst xmlns="http://schemas.openxmlformats.org/spreadsheetml/2006/main" count="524" uniqueCount="382">
  <si>
    <t>CAMPAIGN BRIEF : SOCIAL MEDIA</t>
  </si>
  <si>
    <t>PLEASE FILL IN ALL HIGLIGHTED CELLS;</t>
  </si>
  <si>
    <t xml:space="preserve"> DO NOT CHANGE CELLS THAT ARE NOT HIGHLIGHTED</t>
  </si>
  <si>
    <t>CAMPAIGN REQUEST:</t>
  </si>
  <si>
    <t>CAMPAIGN DETAILS:</t>
  </si>
  <si>
    <t xml:space="preserve">Sent from (Agency): </t>
  </si>
  <si>
    <t>Completed by (Planner):</t>
  </si>
  <si>
    <t>Client:</t>
  </si>
  <si>
    <t>Media Budget (MYR):</t>
  </si>
  <si>
    <t>Business Unit:</t>
  </si>
  <si>
    <t>Agency Commission:</t>
  </si>
  <si>
    <t>Date of Request (Today):</t>
  </si>
  <si>
    <t>Start Date:</t>
  </si>
  <si>
    <t>Brand / Product:</t>
  </si>
  <si>
    <t>End Date:</t>
  </si>
  <si>
    <t>Campaign Name:</t>
  </si>
  <si>
    <t>Length (days):</t>
  </si>
  <si>
    <t>Platform:</t>
  </si>
  <si>
    <t>Symphony E-commerce Tagging</t>
  </si>
  <si>
    <t>Yes / No</t>
  </si>
  <si>
    <t>Billing Details</t>
  </si>
  <si>
    <t>PO Requirement</t>
  </si>
  <si>
    <t>Billing Arrangement</t>
  </si>
  <si>
    <t>Total Sum / Monthly</t>
  </si>
  <si>
    <t>Media Cost Bill To</t>
  </si>
  <si>
    <t>Agency / Client</t>
  </si>
  <si>
    <t>Media Buying Currency</t>
  </si>
  <si>
    <t>USD</t>
  </si>
  <si>
    <t>Currency Exchange Rate</t>
  </si>
  <si>
    <t>BCC No</t>
  </si>
  <si>
    <t>&lt;To be filled by CDT&gt;</t>
  </si>
  <si>
    <t>BRAND INSIGHTS:</t>
  </si>
  <si>
    <t>Please enter additional context or notes</t>
  </si>
  <si>
    <t>CAMPAIGN GOALS:</t>
  </si>
  <si>
    <t>CHOOSE ONE</t>
  </si>
  <si>
    <t>R/F Campaign</t>
  </si>
  <si>
    <t>OR</t>
  </si>
  <si>
    <t>Auction</t>
  </si>
  <si>
    <t>Campaign Objective</t>
  </si>
  <si>
    <t>ENTER HERE</t>
  </si>
  <si>
    <t>FB - Traffic</t>
  </si>
  <si>
    <t>Primary Goal*</t>
  </si>
  <si>
    <t>[FB] Traffic - Link Clicks</t>
  </si>
  <si>
    <t>Secondary Goal</t>
  </si>
  <si>
    <t>Reach</t>
  </si>
  <si>
    <t>KPI*</t>
  </si>
  <si>
    <t>CPM</t>
  </si>
  <si>
    <t>Target Cost Per Unit</t>
  </si>
  <si>
    <t>Ad Format</t>
  </si>
  <si>
    <t>[FB] Single Image - No CTA</t>
  </si>
  <si>
    <t>Instant Experience (FB only)</t>
  </si>
  <si>
    <t>No</t>
  </si>
  <si>
    <t>Agency will aim to attain Guideline Compliant R/F Campaigns (Min. Reach = 50%, Min. Freq. = 1.5x/wk) when requested</t>
  </si>
  <si>
    <t>However, when budget permits Auction-based campaigns will be recommended</t>
  </si>
  <si>
    <t>MEASUREMENT</t>
  </si>
  <si>
    <t>Campaign goal tracking required (e.g. conversion/remarketing/event)</t>
  </si>
  <si>
    <r>
      <rPr>
        <u/>
        <sz val="12"/>
        <color theme="1"/>
        <rFont val="Arial"/>
        <family val="2"/>
      </rPr>
      <t>Ye</t>
    </r>
    <r>
      <rPr>
        <sz val="12"/>
        <color theme="1"/>
        <rFont val="Arial"/>
        <family val="2"/>
      </rPr>
      <t>s/No</t>
    </r>
  </si>
  <si>
    <t>Conversion</t>
  </si>
  <si>
    <t>Will this campaign be measured?</t>
  </si>
  <si>
    <t>Yes/No</t>
  </si>
  <si>
    <t>What will the study measure? Insert here</t>
  </si>
  <si>
    <t>Measurement Partner:</t>
  </si>
  <si>
    <t xml:space="preserve">Millward Brown / MOAT </t>
  </si>
  <si>
    <t>3rd Party Measurement Rate:</t>
  </si>
  <si>
    <t>&lt;specify cost per unit.&gt;</t>
  </si>
  <si>
    <t>&lt;insert the rates here&gt;</t>
  </si>
  <si>
    <t>TARGETING:</t>
  </si>
  <si>
    <t xml:space="preserve"> TARGET OPTION 1</t>
  </si>
  <si>
    <t>NOTES</t>
  </si>
  <si>
    <t>Age*</t>
  </si>
  <si>
    <t>25-50</t>
  </si>
  <si>
    <t xml:space="preserve">
Please enter additional context or notes. If multiple audiences are required for this campaign, please detail here broken out by "Audience 1," "Audience 2," etc.</t>
  </si>
  <si>
    <t>Gender:*</t>
  </si>
  <si>
    <t>Male and Female</t>
  </si>
  <si>
    <t>Audience Type (1st Party)</t>
  </si>
  <si>
    <t>Interest Targeting: (if any)</t>
  </si>
  <si>
    <r>
      <t xml:space="preserve"> TARGET OPTION 2 (if applicable)                                
</t>
    </r>
    <r>
      <rPr>
        <sz val="11"/>
        <rFont val="Arial"/>
        <family val="2"/>
      </rPr>
      <t xml:space="preserve">Fill this out only if you want to see pricing options for a possible secondary target audience. </t>
    </r>
  </si>
  <si>
    <t>Age</t>
  </si>
  <si>
    <t>Gender:</t>
  </si>
  <si>
    <t>Interest Targeting:</t>
  </si>
  <si>
    <t>CAMPAIGN PLACEMENTS:</t>
  </si>
  <si>
    <t>Will there be creative sequencing?</t>
  </si>
  <si>
    <t>Will there be day-parting?</t>
  </si>
  <si>
    <t>Device:</t>
  </si>
  <si>
    <t>(Mobile/Desktop)</t>
  </si>
  <si>
    <t>Language*:</t>
  </si>
  <si>
    <t>English/Bahasa Melayu/Chinese</t>
  </si>
  <si>
    <t>Location*</t>
  </si>
  <si>
    <t>Malaysia</t>
  </si>
  <si>
    <t>Budget Considerations:</t>
  </si>
  <si>
    <t>% of Budget</t>
  </si>
  <si>
    <t>Media Spend</t>
  </si>
  <si>
    <t>DMA/Zip-Codes:</t>
  </si>
  <si>
    <t>English</t>
  </si>
  <si>
    <t>Platform*:</t>
  </si>
  <si>
    <t>Bahasa Melayu</t>
  </si>
  <si>
    <t>Facebook</t>
  </si>
  <si>
    <t>Chinese</t>
  </si>
  <si>
    <t>Instagram</t>
  </si>
  <si>
    <t>Frequency Setting</t>
  </si>
  <si>
    <t>Audience Network</t>
  </si>
  <si>
    <t>Messenger</t>
  </si>
  <si>
    <t>Twitter</t>
  </si>
  <si>
    <t>LinkedIn</t>
  </si>
  <si>
    <t>TikTok</t>
  </si>
  <si>
    <t>Placements*</t>
  </si>
  <si>
    <t>Automatic placements (recommended)</t>
  </si>
  <si>
    <t>Manual placements</t>
  </si>
  <si>
    <t>Facebook / Instagram / Messenger</t>
  </si>
  <si>
    <t>Feeds</t>
  </si>
  <si>
    <t>Facebook Feed</t>
  </si>
  <si>
    <t>Instagram feed</t>
  </si>
  <si>
    <t>Instagram profile feed</t>
  </si>
  <si>
    <t>Facebook Marketplace</t>
  </si>
  <si>
    <t>Facebook video feeds</t>
  </si>
  <si>
    <t>Facebook right column</t>
  </si>
  <si>
    <t>Instagram Explore</t>
  </si>
  <si>
    <t>Instagram Explore home</t>
  </si>
  <si>
    <t>Messenger inbox</t>
  </si>
  <si>
    <t>Facebook Business Explore</t>
  </si>
  <si>
    <t>Stories and Reels</t>
  </si>
  <si>
    <t>Instagram Stories</t>
  </si>
  <si>
    <t>Facebook Stories</t>
  </si>
  <si>
    <t>Messenger Stories</t>
  </si>
  <si>
    <t>Instagram Reels</t>
  </si>
  <si>
    <t>Instagram profile reels</t>
  </si>
  <si>
    <t>Facebook Reels</t>
  </si>
  <si>
    <t>In-stream ads for videos and reels</t>
  </si>
  <si>
    <t>Facebook in-stream videos</t>
  </si>
  <si>
    <t>Ads on Facebook Reels</t>
  </si>
  <si>
    <t>Search results</t>
  </si>
  <si>
    <t>Facebook search results</t>
  </si>
  <si>
    <t>Instagram search results</t>
  </si>
  <si>
    <t>Messages</t>
  </si>
  <si>
    <t>Messenger sponsored messages</t>
  </si>
  <si>
    <t>Apps and sites</t>
  </si>
  <si>
    <t>Audience Network native, banner and interstitial</t>
  </si>
  <si>
    <t>Audience Network rewarded videos</t>
  </si>
  <si>
    <t>Home timelines</t>
  </si>
  <si>
    <t>Profiles</t>
  </si>
  <si>
    <t>Twitter Audience Platform</t>
  </si>
  <si>
    <t>LinkedIn Audience Network</t>
  </si>
  <si>
    <t> </t>
  </si>
  <si>
    <t>TikTok App</t>
  </si>
  <si>
    <t>Pangle App</t>
  </si>
  <si>
    <t>CAMPAIGN TIMELINE:</t>
  </si>
  <si>
    <t>Client to provide proposal to Agency:</t>
  </si>
  <si>
    <t>Date</t>
  </si>
  <si>
    <t>Minimum of 15 business days from request</t>
  </si>
  <si>
    <t>Creative &amp; Tags Due to Agency:</t>
  </si>
  <si>
    <t>Minimum of 5 business days from launch</t>
  </si>
  <si>
    <t>Creative Agency to provide ad mocks and Client to approve:</t>
  </si>
  <si>
    <t>Minimum of 3 business days from launch</t>
  </si>
  <si>
    <t>Agency to confirm campaign is live</t>
  </si>
  <si>
    <t>Day of Launch</t>
  </si>
  <si>
    <t>Agency Reporting Cadence Request</t>
  </si>
  <si>
    <t>Agency will provide reporting on the status document every Monday. If you need a report for the client on a different cadence, please articulate here</t>
  </si>
  <si>
    <t>Insert first date and reoccurring day of week if applicable</t>
  </si>
  <si>
    <t>Agency Logo</t>
  </si>
  <si>
    <t>Brand:</t>
  </si>
  <si>
    <t>Campaign:</t>
  </si>
  <si>
    <t>Autofill</t>
  </si>
  <si>
    <t>Agency to fill out</t>
  </si>
  <si>
    <t>Platform</t>
  </si>
  <si>
    <t>Objective</t>
  </si>
  <si>
    <t>Buying Type</t>
  </si>
  <si>
    <t>Target Audience</t>
  </si>
  <si>
    <t>Recommended Flight</t>
  </si>
  <si>
    <t>Audience Size</t>
  </si>
  <si>
    <t>Estimated Website Clicks</t>
  </si>
  <si>
    <t>Estimated Cost Per Website Click</t>
  </si>
  <si>
    <t>Estimated Impressions</t>
  </si>
  <si>
    <t>Estimated CPM</t>
  </si>
  <si>
    <t>Media Budget</t>
  </si>
  <si>
    <t>Campaign Budget</t>
  </si>
  <si>
    <t>Auction Campaigns</t>
  </si>
  <si>
    <t>4 weeks</t>
  </si>
  <si>
    <t>18-35</t>
  </si>
  <si>
    <t>Female</t>
  </si>
  <si>
    <t>Reach and Frequency Campaigns</t>
  </si>
  <si>
    <t>Estimated % Reach*</t>
  </si>
  <si>
    <t>Estimated # Reach</t>
  </si>
  <si>
    <t>Weekly Frequency</t>
  </si>
  <si>
    <t>Estimated Frequency</t>
  </si>
  <si>
    <t>Screenshot of R&amp;F Simulation Graph</t>
  </si>
  <si>
    <t>Nielsen Tag</t>
  </si>
  <si>
    <t>Sizmek Tag</t>
  </si>
  <si>
    <t>English Audience</t>
  </si>
  <si>
    <t>French Audience</t>
  </si>
  <si>
    <t>='Request for Proposal-Client'!C14</t>
  </si>
  <si>
    <t>='Request for Proposal-Client'!C15</t>
  </si>
  <si>
    <t>Budget:</t>
  </si>
  <si>
    <t>Agency Fill out</t>
  </si>
  <si>
    <t>Targeting</t>
  </si>
  <si>
    <t>Ad</t>
  </si>
  <si>
    <t>Ad Type</t>
  </si>
  <si>
    <t>Flight Start</t>
  </si>
  <si>
    <t>Flight End</t>
  </si>
  <si>
    <t xml:space="preserve">Copy </t>
  </si>
  <si>
    <r>
      <t xml:space="preserve">Characters </t>
    </r>
    <r>
      <rPr>
        <sz val="11"/>
        <color theme="0"/>
        <rFont val="Arial"/>
        <family val="2"/>
      </rPr>
      <t>(Limit 90)</t>
    </r>
  </si>
  <si>
    <t>Headline</t>
  </si>
  <si>
    <r>
      <t xml:space="preserve">Characters </t>
    </r>
    <r>
      <rPr>
        <sz val="11"/>
        <color theme="0"/>
        <rFont val="Arial"/>
        <family val="2"/>
      </rPr>
      <t>(Limit 25)</t>
    </r>
  </si>
  <si>
    <r>
      <t xml:space="preserve">News Feed Link Description </t>
    </r>
    <r>
      <rPr>
        <sz val="11"/>
        <color theme="0"/>
        <rFont val="Arial"/>
        <family val="2"/>
      </rPr>
      <t xml:space="preserve">(Desktop Ads Only) </t>
    </r>
  </si>
  <si>
    <r>
      <t xml:space="preserve">Characters </t>
    </r>
    <r>
      <rPr>
        <sz val="11"/>
        <color theme="0"/>
        <rFont val="Arial"/>
        <family val="2"/>
      </rPr>
      <t>(Limit 30)</t>
    </r>
  </si>
  <si>
    <r>
      <t xml:space="preserve">Display Link </t>
    </r>
    <r>
      <rPr>
        <sz val="11"/>
        <color theme="0"/>
        <rFont val="Arial"/>
        <family val="2"/>
      </rPr>
      <t>(For Website Click Campaigns Only)</t>
    </r>
  </si>
  <si>
    <r>
      <t xml:space="preserve">Website URL </t>
    </r>
    <r>
      <rPr>
        <sz val="11"/>
        <color theme="0"/>
        <rFont val="Arial"/>
        <family val="2"/>
      </rPr>
      <t>(For Website Click Campaigns Only)</t>
    </r>
  </si>
  <si>
    <r>
      <t xml:space="preserve">CTA </t>
    </r>
    <r>
      <rPr>
        <sz val="11"/>
        <color theme="0"/>
        <rFont val="Arial"/>
        <family val="2"/>
      </rPr>
      <t>(For Website Click Campaigns Only)</t>
    </r>
  </si>
  <si>
    <t>Asset Name</t>
  </si>
  <si>
    <t>Length</t>
  </si>
  <si>
    <t>Neilsen Tag</t>
  </si>
  <si>
    <t xml:space="preserve">Demo Link </t>
  </si>
  <si>
    <t>Date Mocked</t>
  </si>
  <si>
    <t>Screenshot</t>
  </si>
  <si>
    <t>Client Approval</t>
  </si>
  <si>
    <t>Confirm Live Date</t>
  </si>
  <si>
    <t>Confirm Ended Date</t>
  </si>
  <si>
    <t>Reasoning, If different from planned Flight Start / Flight End</t>
  </si>
  <si>
    <t>Target 1</t>
  </si>
  <si>
    <t>#1</t>
  </si>
  <si>
    <t>Photo</t>
  </si>
  <si>
    <t>='Request for Proposal-Client'!G12</t>
  </si>
  <si>
    <t>='Request for Proposal-Client'!G13</t>
  </si>
  <si>
    <t>This is the main copy of the advertisement.</t>
  </si>
  <si>
    <t>This is a headline</t>
  </si>
  <si>
    <t>This is a newsfeed link description.</t>
  </si>
  <si>
    <t>Learn More</t>
  </si>
  <si>
    <t>EXAMPLE:Garnier Video 1</t>
  </si>
  <si>
    <t>:15</t>
  </si>
  <si>
    <t>Agency  will supply the Demo link here for approval</t>
  </si>
  <si>
    <t>Agency will provide screenshot of the live ad here</t>
  </si>
  <si>
    <t>Target 2</t>
  </si>
  <si>
    <t>#2</t>
  </si>
  <si>
    <t>:30</t>
  </si>
  <si>
    <t>BN will supply the Demo link here for approval</t>
  </si>
  <si>
    <t>BN will provide screenshot of the live ad here</t>
  </si>
  <si>
    <t>#3</t>
  </si>
  <si>
    <t>Video</t>
  </si>
  <si>
    <t>Garnier Video 3</t>
  </si>
  <si>
    <t>#4</t>
  </si>
  <si>
    <t>Garnier Video 4</t>
  </si>
  <si>
    <t>:120</t>
  </si>
  <si>
    <t>Agency will supply the Demo link here for approval</t>
  </si>
  <si>
    <t>Campaign Objective (Auction)</t>
  </si>
  <si>
    <t>Campaign Objective (R&amp;F)</t>
  </si>
  <si>
    <t>Primary Goal</t>
  </si>
  <si>
    <t>Standard Optimizations</t>
  </si>
  <si>
    <t>KPI</t>
  </si>
  <si>
    <t>Yes</t>
  </si>
  <si>
    <t>FB - Brand Awareness</t>
  </si>
  <si>
    <t>Impressions</t>
  </si>
  <si>
    <t>CPE</t>
  </si>
  <si>
    <t>[FB] Single Video - No CTA</t>
  </si>
  <si>
    <t>FB - Reach</t>
  </si>
  <si>
    <t>Brand Awareness</t>
  </si>
  <si>
    <t>Clicks</t>
  </si>
  <si>
    <t>CPA</t>
  </si>
  <si>
    <t>[FB] Single Image - CTA</t>
  </si>
  <si>
    <t>Video Views</t>
  </si>
  <si>
    <t>Page Engagement</t>
  </si>
  <si>
    <t>CPV</t>
  </si>
  <si>
    <t>[FB] Single Video - CTA</t>
  </si>
  <si>
    <t>FB - Engagement</t>
  </si>
  <si>
    <t>App Engagement</t>
  </si>
  <si>
    <t>Like</t>
  </si>
  <si>
    <t>CPC</t>
  </si>
  <si>
    <t>[FB] Collection</t>
  </si>
  <si>
    <t>FB - App Installs</t>
  </si>
  <si>
    <t>App Installs</t>
  </si>
  <si>
    <t>Mention</t>
  </si>
  <si>
    <t>Cost Per Install</t>
  </si>
  <si>
    <t xml:space="preserve">[FB] Carousel </t>
  </si>
  <si>
    <t>FB - Video Views</t>
  </si>
  <si>
    <t>Website Conversions</t>
  </si>
  <si>
    <t>Comment</t>
  </si>
  <si>
    <t>Cost Per Lead</t>
  </si>
  <si>
    <t>[TW] Carousel Website Card - Video</t>
  </si>
  <si>
    <t>FB - Lead Generation</t>
  </si>
  <si>
    <t>FB - Conversions</t>
  </si>
  <si>
    <t>[FB] Thruplay</t>
  </si>
  <si>
    <t>Post Engagement</t>
  </si>
  <si>
    <t>[FB] CPV - 2 Seconds</t>
  </si>
  <si>
    <t>[TW] Carousel Website Card - Image</t>
  </si>
  <si>
    <t>FB - Message</t>
  </si>
  <si>
    <t>[FB] 2-Second Continuos Video View</t>
  </si>
  <si>
    <t>Post Like</t>
  </si>
  <si>
    <t>[FB] CPV - ThruPlay</t>
  </si>
  <si>
    <t>[TW] Carousel App Card - Video</t>
  </si>
  <si>
    <t>[FB] Store Visit</t>
  </si>
  <si>
    <t>Photo View</t>
  </si>
  <si>
    <t>[FB] Cost Per Landing</t>
  </si>
  <si>
    <t>[TW] Carousel App Card - Image</t>
  </si>
  <si>
    <t>FB - Catalogue Sales</t>
  </si>
  <si>
    <t>[FB] Engagement - Post Engagement</t>
  </si>
  <si>
    <t>Video Play</t>
  </si>
  <si>
    <t>[FB] CPC (Link Clicks)</t>
  </si>
  <si>
    <t>[TW] Promoted Text</t>
  </si>
  <si>
    <t>FB - Store Traffics</t>
  </si>
  <si>
    <t>[FB] Engagement - Page Likes</t>
  </si>
  <si>
    <t>Video View</t>
  </si>
  <si>
    <t>[FB] Cost Per Lead</t>
  </si>
  <si>
    <t>[TW] Promoted Image</t>
  </si>
  <si>
    <t>FB - Conversions (CPAS)</t>
  </si>
  <si>
    <t>[FB] Engagement - Event Response</t>
  </si>
  <si>
    <t>Video 25% watched</t>
  </si>
  <si>
    <t>[FB] Cost Per Event Response</t>
  </si>
  <si>
    <t>[TW] Promoted GIF</t>
  </si>
  <si>
    <t>FB - Catalogue Sales (CPAS)</t>
  </si>
  <si>
    <t>Video 50% watched</t>
  </si>
  <si>
    <t>[FB] Event Response - Page Likes</t>
  </si>
  <si>
    <t>[FB] Cost Per Conversation / Message</t>
  </si>
  <si>
    <t>[TW] Promoted Poll</t>
  </si>
  <si>
    <t>Twitter - Reach</t>
  </si>
  <si>
    <t>[FB] Traffic - Landing Page Views</t>
  </si>
  <si>
    <t>Video 75% watched</t>
  </si>
  <si>
    <t>[TW] CPAC (Cost Per App Click)</t>
  </si>
  <si>
    <t>[TW] Promoted Card</t>
  </si>
  <si>
    <t>Twitter - Video Views</t>
  </si>
  <si>
    <t>[FB] Lead Generation</t>
  </si>
  <si>
    <t>Video 95% watched</t>
  </si>
  <si>
    <t>[TW] CPV - 2 Seconds</t>
  </si>
  <si>
    <t>[TW] First View</t>
  </si>
  <si>
    <t>Twitter - Pre-roll Views</t>
  </si>
  <si>
    <t>[FB] Conversation - Messenger / Whatsapp / Instagram Direct</t>
  </si>
  <si>
    <t>Video 100% watched</t>
  </si>
  <si>
    <t>[TW] CPV - 3 Seconds</t>
  </si>
  <si>
    <t>[TW] Promoted Trend</t>
  </si>
  <si>
    <t>Twitter - App Installs</t>
  </si>
  <si>
    <t>[FB] CPAS - View Content</t>
  </si>
  <si>
    <t>Video Complete</t>
  </si>
  <si>
    <t>[TW] CPV - 6 Seconds</t>
  </si>
  <si>
    <t>[TW] Website Card - Video</t>
  </si>
  <si>
    <t>Twitter - Website Clicks</t>
  </si>
  <si>
    <t>[FB] CPAS - Add To Cart</t>
  </si>
  <si>
    <t>Video :10s Watch</t>
  </si>
  <si>
    <t xml:space="preserve">[TikTok] CPV - 2 Seconds </t>
  </si>
  <si>
    <t>[TW] Website Card - Image</t>
  </si>
  <si>
    <t>Twitter - Engagements</t>
  </si>
  <si>
    <t>[FB] CPAS - Purchase</t>
  </si>
  <si>
    <t>Video :15s Watch</t>
  </si>
  <si>
    <t>[TikTok] CPV - 6 Seconds</t>
  </si>
  <si>
    <t>[TW] App Card - Video</t>
  </si>
  <si>
    <t>Twitter - Followers</t>
  </si>
  <si>
    <t>[FB] CPAS - ROAS</t>
  </si>
  <si>
    <t>Video :30s Watch</t>
  </si>
  <si>
    <t>[TW] App Card - Image</t>
  </si>
  <si>
    <t>Twitter - App Re-engagement</t>
  </si>
  <si>
    <t>[Twitter] Followers</t>
  </si>
  <si>
    <t>Link Click</t>
  </si>
  <si>
    <t>[TW] Conversational Card - Video</t>
  </si>
  <si>
    <t>TikTok - Reach</t>
  </si>
  <si>
    <t>Offsite Conversion: Custom Event</t>
  </si>
  <si>
    <t>[TW] Conversational Card - Image</t>
  </si>
  <si>
    <t>TikTok - Traffic</t>
  </si>
  <si>
    <t>Mobile App Install</t>
  </si>
  <si>
    <t>[TW] Tweet to Unlock - Image</t>
  </si>
  <si>
    <t>TikTok - App Installs</t>
  </si>
  <si>
    <t>Mobile App  Custom Event</t>
  </si>
  <si>
    <t>[TW] Tweet to Unlock - Video</t>
  </si>
  <si>
    <t>TikTok - Video Views</t>
  </si>
  <si>
    <t>[TikTok] Native In-Feed Ads - Video</t>
  </si>
  <si>
    <t>TikTok - Conversions</t>
  </si>
  <si>
    <t>[LinkedIn] Single Image Ad</t>
  </si>
  <si>
    <t>LinkedIn - Brand Awareness</t>
  </si>
  <si>
    <t>[LinkedIn] Carousel Image Ad</t>
  </si>
  <si>
    <t>LinkedIn - Website Visits</t>
  </si>
  <si>
    <t>[LinkedIn] Video Ad</t>
  </si>
  <si>
    <t>LinkedIn - Engagement</t>
  </si>
  <si>
    <t>[LinkedIn] Text Ad</t>
  </si>
  <si>
    <t>LinkedIn - Video View</t>
  </si>
  <si>
    <t>[LinkedIn] Spotlight Ad</t>
  </si>
  <si>
    <t>LinkedIn - Lead Generation</t>
  </si>
  <si>
    <t>[LinkedIn] Follower Ad</t>
  </si>
  <si>
    <t>LinkedIn - Website Conversions</t>
  </si>
  <si>
    <t>[LinkedIn] Conversation Ad</t>
  </si>
  <si>
    <t>LinkedIn - Job Applicants</t>
  </si>
  <si>
    <t>Item</t>
  </si>
  <si>
    <t>Confirmation (+ initials)</t>
  </si>
  <si>
    <t>Media Plan Approval</t>
  </si>
  <si>
    <t>IO</t>
  </si>
  <si>
    <t>Tags</t>
  </si>
  <si>
    <t>Mock Approval</t>
  </si>
  <si>
    <t>Study Setup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</si>
</sst>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3" formatCode="_(* #,##0.00_);_(* \(#,##0.00\);_(* &quot;-&quot;??_);_(@_)"/>
    <numFmt numFmtId="164" formatCode="&quot;RM&quot;#,##0;[Red]\-&quot;RM&quot;#,##0"/>
    <numFmt numFmtId="165" formatCode="mm/dd/yy;@"/>
    <numFmt numFmtId="166" formatCode="&quot;$&quot;#,##0.00;[Red]&quot;$&quot;#,##0.00"/>
    <numFmt numFmtId="167" formatCode="0.0"/>
    <numFmt numFmtId="168" formatCode="&quot;$&quot;#,##0.00"/>
    <numFmt numFmtId="169" formatCode="_(* #,##0_);_(* \(#,##0\);_(* &quot;-&quot;??_);_(@_)"/>
    <numFmt numFmtId="170" formatCode="#,##0.0"/>
    <numFmt numFmtId="171" formatCode="[$MYR]\ #,##0.00_);\([$MYR]\ #,##0.00\)"/>
    <numFmt numFmtId="172" formatCode="_-[$RM-4409]* #,##0.00_-;\-[$RM-4409]* #,##0.00_-;_-[$RM-4409]* &quot;-&quot;??_-;_-@_-"/>
  </numFmts>
  <fonts count="4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theme="1"/>
      <name val="Arial"/>
      <family val="2"/>
    </font>
    <font>
      <b/>
      <u/>
      <sz val="14"/>
      <color theme="1"/>
      <name val="Arial"/>
      <family val="2"/>
    </font>
    <font>
      <i/>
      <sz val="10"/>
      <color theme="1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i/>
      <sz val="12"/>
      <color theme="1"/>
      <name val="Arial"/>
      <family val="2"/>
    </font>
    <font>
      <i/>
      <u/>
      <sz val="12"/>
      <color theme="1"/>
      <name val="Arial"/>
      <family val="2"/>
    </font>
    <font>
      <i/>
      <u/>
      <sz val="14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22"/>
      <color theme="1"/>
      <name val="Arial"/>
      <family val="2"/>
    </font>
    <font>
      <b/>
      <sz val="20"/>
      <color theme="8" tint="-0.249977111117893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6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u/>
      <sz val="12"/>
      <color theme="1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2"/>
      <color theme="1"/>
      <name val="Arial Black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2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9" fillId="0" borderId="0" xfId="0" applyFont="1" applyAlignment="1">
      <alignment horizontal="center"/>
    </xf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11" fillId="0" borderId="0" xfId="0" applyFont="1"/>
    <xf numFmtId="0" fontId="3" fillId="0" borderId="0" xfId="0" applyFont="1"/>
    <xf numFmtId="0" fontId="10" fillId="0" borderId="0" xfId="0" applyFont="1"/>
    <xf numFmtId="0" fontId="3" fillId="0" borderId="9" xfId="0" applyFont="1" applyBorder="1"/>
    <xf numFmtId="0" fontId="3" fillId="0" borderId="14" xfId="0" applyFont="1" applyBorder="1"/>
    <xf numFmtId="0" fontId="9" fillId="0" borderId="0" xfId="0" applyFont="1"/>
    <xf numFmtId="0" fontId="3" fillId="0" borderId="15" xfId="0" applyFont="1" applyBorder="1"/>
    <xf numFmtId="0" fontId="2" fillId="0" borderId="15" xfId="0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5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9" fontId="2" fillId="4" borderId="0" xfId="1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166" fontId="2" fillId="0" borderId="13" xfId="1" applyNumberFormat="1" applyFont="1" applyFill="1" applyBorder="1" applyAlignment="1">
      <alignment horizontal="right"/>
    </xf>
    <xf numFmtId="0" fontId="20" fillId="6" borderId="17" xfId="0" applyFont="1" applyFill="1" applyBorder="1" applyAlignment="1">
      <alignment horizontal="right"/>
    </xf>
    <xf numFmtId="0" fontId="9" fillId="6" borderId="17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3" fillId="0" borderId="9" xfId="0" applyFont="1" applyBorder="1" applyAlignment="1">
      <alignment vertical="center"/>
    </xf>
    <xf numFmtId="0" fontId="2" fillId="0" borderId="11" xfId="0" applyFont="1" applyBorder="1"/>
    <xf numFmtId="0" fontId="11" fillId="0" borderId="10" xfId="0" applyFont="1" applyBorder="1"/>
    <xf numFmtId="0" fontId="2" fillId="0" borderId="12" xfId="0" applyFont="1" applyBorder="1"/>
    <xf numFmtId="0" fontId="2" fillId="0" borderId="4" xfId="0" applyFont="1" applyBorder="1"/>
    <xf numFmtId="165" fontId="2" fillId="0" borderId="0" xfId="0" applyNumberFormat="1" applyFont="1" applyAlignment="1">
      <alignment horizontal="center"/>
    </xf>
    <xf numFmtId="0" fontId="2" fillId="0" borderId="6" xfId="0" applyFont="1" applyBorder="1"/>
    <xf numFmtId="0" fontId="2" fillId="4" borderId="1" xfId="0" applyFont="1" applyFill="1" applyBorder="1" applyAlignment="1">
      <alignment horizontal="center"/>
    </xf>
    <xf numFmtId="0" fontId="22" fillId="0" borderId="0" xfId="0" applyFont="1"/>
    <xf numFmtId="0" fontId="2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5" fillId="0" borderId="0" xfId="0" applyFont="1"/>
    <xf numFmtId="0" fontId="27" fillId="0" borderId="0" xfId="0" applyFont="1"/>
    <xf numFmtId="0" fontId="27" fillId="2" borderId="0" xfId="215" applyFont="1" applyFill="1" applyAlignment="1">
      <alignment vertical="center"/>
    </xf>
    <xf numFmtId="0" fontId="13" fillId="7" borderId="10" xfId="215" applyFont="1" applyFill="1" applyBorder="1" applyAlignment="1">
      <alignment horizontal="center" vertical="center" wrapText="1"/>
    </xf>
    <xf numFmtId="0" fontId="13" fillId="7" borderId="11" xfId="215" applyFont="1" applyFill="1" applyBorder="1" applyAlignment="1">
      <alignment horizontal="center" vertical="center" wrapText="1"/>
    </xf>
    <xf numFmtId="3" fontId="13" fillId="7" borderId="11" xfId="216" applyNumberFormat="1" applyFont="1" applyFill="1" applyBorder="1" applyAlignment="1">
      <alignment horizontal="center" vertical="center" wrapText="1"/>
    </xf>
    <xf numFmtId="169" fontId="13" fillId="7" borderId="11" xfId="216" applyNumberFormat="1" applyFont="1" applyFill="1" applyBorder="1" applyAlignment="1">
      <alignment horizontal="center" vertical="center" wrapText="1"/>
    </xf>
    <xf numFmtId="168" fontId="13" fillId="7" borderId="11" xfId="216" applyNumberFormat="1" applyFont="1" applyFill="1" applyBorder="1" applyAlignment="1">
      <alignment horizontal="center" vertical="center" wrapText="1"/>
    </xf>
    <xf numFmtId="0" fontId="13" fillId="7" borderId="12" xfId="215" applyFont="1" applyFill="1" applyBorder="1" applyAlignment="1">
      <alignment horizontal="center" vertical="center" wrapText="1"/>
    </xf>
    <xf numFmtId="0" fontId="28" fillId="6" borderId="0" xfId="215" applyFont="1" applyFill="1" applyAlignment="1">
      <alignment horizontal="center" vertical="center" wrapText="1"/>
    </xf>
    <xf numFmtId="0" fontId="28" fillId="6" borderId="15" xfId="215" applyFont="1" applyFill="1" applyBorder="1" applyAlignment="1">
      <alignment horizontal="center" vertical="center" wrapText="1"/>
    </xf>
    <xf numFmtId="9" fontId="13" fillId="7" borderId="11" xfId="217" applyFont="1" applyFill="1" applyBorder="1" applyAlignment="1">
      <alignment horizontal="center" vertical="center" wrapText="1"/>
    </xf>
    <xf numFmtId="0" fontId="13" fillId="7" borderId="18" xfId="215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14" fontId="2" fillId="6" borderId="17" xfId="0" applyNumberFormat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 wrapText="1"/>
    </xf>
    <xf numFmtId="0" fontId="5" fillId="0" borderId="17" xfId="214" applyBorder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0" fontId="2" fillId="4" borderId="17" xfId="0" applyFont="1" applyFill="1" applyBorder="1" applyAlignment="1">
      <alignment horizontal="center" vertical="center" wrapText="1"/>
    </xf>
    <xf numFmtId="16" fontId="2" fillId="4" borderId="17" xfId="0" applyNumberFormat="1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/>
    <xf numFmtId="9" fontId="2" fillId="4" borderId="14" xfId="1" applyFont="1" applyFill="1" applyBorder="1" applyAlignment="1">
      <alignment horizontal="left" vertical="top"/>
    </xf>
    <xf numFmtId="9" fontId="2" fillId="4" borderId="15" xfId="1" applyFont="1" applyFill="1" applyBorder="1" applyAlignment="1">
      <alignment horizontal="left" vertical="top"/>
    </xf>
    <xf numFmtId="9" fontId="2" fillId="4" borderId="16" xfId="1" applyFont="1" applyFill="1" applyBorder="1" applyAlignment="1">
      <alignment horizontal="left" vertical="top"/>
    </xf>
    <xf numFmtId="0" fontId="13" fillId="3" borderId="11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left" vertical="top" wrapText="1"/>
    </xf>
    <xf numFmtId="0" fontId="2" fillId="4" borderId="11" xfId="0" applyFont="1" applyFill="1" applyBorder="1" applyAlignment="1">
      <alignment horizontal="left" vertical="top" wrapText="1"/>
    </xf>
    <xf numFmtId="0" fontId="2" fillId="4" borderId="12" xfId="0" applyFont="1" applyFill="1" applyBorder="1" applyAlignment="1">
      <alignment horizontal="left" vertical="top" wrapText="1"/>
    </xf>
    <xf numFmtId="0" fontId="2" fillId="4" borderId="14" xfId="0" applyFont="1" applyFill="1" applyBorder="1" applyAlignment="1">
      <alignment horizontal="left" vertical="top" wrapText="1"/>
    </xf>
    <xf numFmtId="0" fontId="2" fillId="4" borderId="15" xfId="0" applyFont="1" applyFill="1" applyBorder="1" applyAlignment="1">
      <alignment horizontal="left" vertical="top" wrapText="1"/>
    </xf>
    <xf numFmtId="0" fontId="2" fillId="4" borderId="16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4" fillId="8" borderId="0" xfId="0" applyFont="1" applyFill="1" applyAlignment="1">
      <alignment horizontal="center"/>
    </xf>
    <xf numFmtId="165" fontId="2" fillId="0" borderId="19" xfId="0" applyNumberFormat="1" applyFont="1" applyBorder="1" applyAlignment="1">
      <alignment horizontal="center"/>
    </xf>
    <xf numFmtId="0" fontId="2" fillId="4" borderId="9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13" xfId="0" applyFont="1" applyFill="1" applyBorder="1" applyAlignment="1">
      <alignment horizontal="left" vertical="top" wrapText="1"/>
    </xf>
    <xf numFmtId="0" fontId="19" fillId="5" borderId="20" xfId="0" applyFont="1" applyFill="1" applyBorder="1" applyAlignment="1">
      <alignment horizontal="center"/>
    </xf>
    <xf numFmtId="0" fontId="19" fillId="5" borderId="21" xfId="0" applyFont="1" applyFill="1" applyBorder="1" applyAlignment="1">
      <alignment horizontal="center"/>
    </xf>
    <xf numFmtId="0" fontId="19" fillId="5" borderId="22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27" xfId="0" applyFont="1" applyBorder="1" applyAlignment="1">
      <alignment vertical="center"/>
    </xf>
    <xf numFmtId="0" fontId="2" fillId="4" borderId="11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3" fillId="0" borderId="17" xfId="0" applyFont="1" applyBorder="1"/>
    <xf numFmtId="2" fontId="2" fillId="0" borderId="17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64" fontId="2" fillId="4" borderId="14" xfId="0" applyNumberFormat="1" applyFont="1" applyFill="1" applyBorder="1" applyAlignment="1">
      <alignment horizontal="left" vertical="top" wrapText="1"/>
    </xf>
    <xf numFmtId="0" fontId="3" fillId="6" borderId="0" xfId="0" applyFont="1" applyFill="1"/>
    <xf numFmtId="0" fontId="3" fillId="2" borderId="0" xfId="0" applyFont="1" applyFill="1"/>
    <xf numFmtId="0" fontId="2" fillId="2" borderId="0" xfId="0" applyFont="1" applyFill="1"/>
    <xf numFmtId="0" fontId="36" fillId="2" borderId="0" xfId="0" applyFont="1" applyFill="1"/>
    <xf numFmtId="0" fontId="36" fillId="2" borderId="0" xfId="0" applyFont="1" applyFill="1" applyAlignment="1">
      <alignment horizontal="center"/>
    </xf>
    <xf numFmtId="0" fontId="2" fillId="0" borderId="9" xfId="0" applyFont="1" applyBorder="1" applyAlignment="1">
      <alignment horizontal="right"/>
    </xf>
    <xf numFmtId="0" fontId="2" fillId="4" borderId="0" xfId="0" applyFont="1" applyFill="1"/>
    <xf numFmtId="0" fontId="2" fillId="0" borderId="13" xfId="0" applyFont="1" applyBorder="1"/>
    <xf numFmtId="0" fontId="34" fillId="9" borderId="9" xfId="0" applyFont="1" applyFill="1" applyBorder="1" applyAlignment="1">
      <alignment horizontal="right"/>
    </xf>
    <xf numFmtId="0" fontId="35" fillId="0" borderId="9" xfId="0" applyFont="1" applyBorder="1" applyAlignment="1">
      <alignment horizontal="right"/>
    </xf>
    <xf numFmtId="0" fontId="35" fillId="0" borderId="14" xfId="0" applyFont="1" applyBorder="1" applyAlignment="1">
      <alignment horizontal="right"/>
    </xf>
    <xf numFmtId="0" fontId="2" fillId="2" borderId="15" xfId="0" applyFont="1" applyFill="1" applyBorder="1"/>
    <xf numFmtId="0" fontId="2" fillId="4" borderId="15" xfId="0" applyFont="1" applyFill="1" applyBorder="1"/>
    <xf numFmtId="0" fontId="36" fillId="2" borderId="15" xfId="0" applyFont="1" applyFill="1" applyBorder="1" applyAlignment="1">
      <alignment horizontal="center"/>
    </xf>
    <xf numFmtId="0" fontId="2" fillId="0" borderId="16" xfId="0" applyFont="1" applyBorder="1"/>
    <xf numFmtId="0" fontId="3" fillId="6" borderId="10" xfId="0" applyFont="1" applyFill="1" applyBorder="1" applyAlignment="1">
      <alignment horizontal="right"/>
    </xf>
    <xf numFmtId="0" fontId="3" fillId="6" borderId="11" xfId="0" applyFont="1" applyFill="1" applyBorder="1"/>
    <xf numFmtId="0" fontId="2" fillId="4" borderId="13" xfId="0" applyFont="1" applyFill="1" applyBorder="1"/>
    <xf numFmtId="0" fontId="2" fillId="0" borderId="14" xfId="0" applyFont="1" applyBorder="1" applyAlignment="1">
      <alignment horizontal="right"/>
    </xf>
    <xf numFmtId="0" fontId="2" fillId="4" borderId="16" xfId="0" applyFont="1" applyFill="1" applyBorder="1"/>
    <xf numFmtId="0" fontId="3" fillId="6" borderId="10" xfId="0" applyFont="1" applyFill="1" applyBorder="1"/>
    <xf numFmtId="0" fontId="3" fillId="6" borderId="12" xfId="0" applyFont="1" applyFill="1" applyBorder="1"/>
    <xf numFmtId="0" fontId="35" fillId="4" borderId="13" xfId="0" applyFont="1" applyFill="1" applyBorder="1" applyAlignment="1">
      <alignment horizontal="right"/>
    </xf>
    <xf numFmtId="0" fontId="35" fillId="4" borderId="16" xfId="0" applyFont="1" applyFill="1" applyBorder="1" applyAlignment="1">
      <alignment horizontal="right"/>
    </xf>
    <xf numFmtId="0" fontId="3" fillId="0" borderId="15" xfId="0" applyFont="1" applyBorder="1" applyAlignment="1">
      <alignment vertical="center"/>
    </xf>
    <xf numFmtId="0" fontId="2" fillId="6" borderId="17" xfId="0" applyFont="1" applyFill="1" applyBorder="1"/>
    <xf numFmtId="0" fontId="3" fillId="0" borderId="10" xfId="0" applyFont="1" applyBorder="1" applyAlignment="1">
      <alignment vertical="center"/>
    </xf>
    <xf numFmtId="166" fontId="2" fillId="4" borderId="2" xfId="0" applyNumberFormat="1" applyFont="1" applyFill="1" applyBorder="1" applyAlignment="1">
      <alignment horizontal="center"/>
    </xf>
    <xf numFmtId="166" fontId="2" fillId="4" borderId="3" xfId="0" applyNumberFormat="1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5" fillId="0" borderId="0" xfId="214" applyBorder="1"/>
    <xf numFmtId="0" fontId="3" fillId="0" borderId="2" xfId="0" applyFont="1" applyBorder="1" applyAlignment="1">
      <alignment vertical="center"/>
    </xf>
    <xf numFmtId="0" fontId="35" fillId="0" borderId="0" xfId="0" applyFont="1" applyAlignment="1">
      <alignment horizontal="right"/>
    </xf>
    <xf numFmtId="0" fontId="39" fillId="2" borderId="9" xfId="0" applyFont="1" applyFill="1" applyBorder="1" applyAlignment="1">
      <alignment horizontal="right"/>
    </xf>
    <xf numFmtId="0" fontId="40" fillId="0" borderId="0" xfId="0" applyFont="1"/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2" fillId="5" borderId="0" xfId="0" applyFont="1" applyFill="1"/>
    <xf numFmtId="0" fontId="35" fillId="5" borderId="13" xfId="0" applyFont="1" applyFill="1" applyBorder="1" applyAlignment="1">
      <alignment horizontal="right"/>
    </xf>
    <xf numFmtId="0" fontId="42" fillId="0" borderId="0" xfId="0" applyFont="1" applyAlignment="1">
      <alignment horizontal="right" wrapText="1"/>
    </xf>
    <xf numFmtId="0" fontId="43" fillId="0" borderId="0" xfId="0" applyFont="1" applyAlignment="1">
      <alignment horizontal="right"/>
    </xf>
    <xf numFmtId="167" fontId="2" fillId="4" borderId="3" xfId="0" applyNumberFormat="1" applyFont="1" applyFill="1" applyBorder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166" fontId="2" fillId="4" borderId="2" xfId="0" applyNumberFormat="1" applyFont="1" applyFill="1" applyBorder="1" applyAlignment="1">
      <alignment horizontal="center"/>
    </xf>
    <xf numFmtId="166" fontId="2" fillId="4" borderId="3" xfId="0" applyNumberFormat="1" applyFont="1" applyFill="1" applyBorder="1" applyAlignment="1">
      <alignment horizontal="center"/>
    </xf>
    <xf numFmtId="171" fontId="2" fillId="4" borderId="1" xfId="0" applyNumberFormat="1" applyFont="1" applyFill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4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13" fillId="8" borderId="2" xfId="0" applyFont="1" applyFill="1" applyBorder="1" applyAlignment="1">
      <alignment horizontal="center"/>
    </xf>
    <xf numFmtId="0" fontId="13" fillId="8" borderId="17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21" fillId="8" borderId="2" xfId="0" applyFont="1" applyFill="1" applyBorder="1" applyAlignment="1">
      <alignment horizontal="center"/>
    </xf>
    <xf numFmtId="0" fontId="21" fillId="8" borderId="17" xfId="0" applyFont="1" applyFill="1" applyBorder="1" applyAlignment="1">
      <alignment horizontal="center"/>
    </xf>
    <xf numFmtId="0" fontId="21" fillId="8" borderId="3" xfId="0" applyFont="1" applyFill="1" applyBorder="1" applyAlignment="1">
      <alignment horizontal="center"/>
    </xf>
    <xf numFmtId="0" fontId="19" fillId="5" borderId="10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2" fillId="4" borderId="13" xfId="0" applyFont="1" applyFill="1" applyBorder="1" applyAlignment="1">
      <alignment horizontal="center" vertical="top" wrapText="1"/>
    </xf>
    <xf numFmtId="0" fontId="2" fillId="4" borderId="14" xfId="0" applyFont="1" applyFill="1" applyBorder="1" applyAlignment="1">
      <alignment horizontal="center" vertical="top" wrapText="1"/>
    </xf>
    <xf numFmtId="0" fontId="2" fillId="4" borderId="15" xfId="0" applyFont="1" applyFill="1" applyBorder="1" applyAlignment="1">
      <alignment horizontal="center" vertical="top" wrapText="1"/>
    </xf>
    <xf numFmtId="0" fontId="2" fillId="4" borderId="16" xfId="0" applyFont="1" applyFill="1" applyBorder="1" applyAlignment="1">
      <alignment horizontal="center" vertical="top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left" vertical="top"/>
    </xf>
    <xf numFmtId="0" fontId="2" fillId="4" borderId="16" xfId="0" applyFont="1" applyFill="1" applyBorder="1" applyAlignment="1">
      <alignment horizontal="left" vertical="top"/>
    </xf>
    <xf numFmtId="0" fontId="2" fillId="4" borderId="0" xfId="0" applyFont="1" applyFill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4" borderId="2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166" fontId="2" fillId="2" borderId="2" xfId="0" applyNumberFormat="1" applyFont="1" applyFill="1" applyBorder="1" applyAlignment="1">
      <alignment horizontal="center"/>
    </xf>
    <xf numFmtId="166" fontId="2" fillId="2" borderId="3" xfId="0" applyNumberFormat="1" applyFont="1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top" wrapText="1"/>
    </xf>
    <xf numFmtId="0" fontId="2" fillId="4" borderId="17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19" fillId="5" borderId="2" xfId="0" applyFont="1" applyFill="1" applyBorder="1" applyAlignment="1">
      <alignment horizontal="center"/>
    </xf>
    <xf numFmtId="0" fontId="19" fillId="5" borderId="17" xfId="0" applyFont="1" applyFill="1" applyBorder="1" applyAlignment="1">
      <alignment horizontal="center"/>
    </xf>
    <xf numFmtId="0" fontId="19" fillId="5" borderId="3" xfId="0" applyFont="1" applyFill="1" applyBorder="1" applyAlignment="1">
      <alignment horizontal="center"/>
    </xf>
    <xf numFmtId="167" fontId="2" fillId="4" borderId="11" xfId="0" applyNumberFormat="1" applyFont="1" applyFill="1" applyBorder="1" applyAlignment="1">
      <alignment horizontal="center"/>
    </xf>
    <xf numFmtId="167" fontId="2" fillId="4" borderId="12" xfId="0" applyNumberFormat="1" applyFont="1" applyFill="1" applyBorder="1" applyAlignment="1">
      <alignment horizontal="center"/>
    </xf>
    <xf numFmtId="167" fontId="2" fillId="4" borderId="15" xfId="0" applyNumberFormat="1" applyFont="1" applyFill="1" applyBorder="1" applyAlignment="1">
      <alignment horizontal="center"/>
    </xf>
    <xf numFmtId="167" fontId="2" fillId="4" borderId="16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7" fillId="6" borderId="15" xfId="0" applyFont="1" applyFill="1" applyBorder="1" applyAlignment="1">
      <alignment horizontal="center" vertical="center"/>
    </xf>
    <xf numFmtId="0" fontId="19" fillId="6" borderId="9" xfId="215" applyFont="1" applyFill="1" applyBorder="1" applyAlignment="1">
      <alignment horizontal="center" vertical="center" wrapText="1"/>
    </xf>
    <xf numFmtId="0" fontId="19" fillId="6" borderId="14" xfId="215" applyFont="1" applyFill="1" applyBorder="1" applyAlignment="1">
      <alignment horizontal="center" vertical="center" wrapText="1"/>
    </xf>
    <xf numFmtId="0" fontId="19" fillId="6" borderId="0" xfId="215" applyFont="1" applyFill="1" applyAlignment="1">
      <alignment horizontal="center" vertical="center" wrapText="1"/>
    </xf>
    <xf numFmtId="0" fontId="19" fillId="6" borderId="15" xfId="215" applyFont="1" applyFill="1" applyBorder="1" applyAlignment="1">
      <alignment horizontal="center" vertical="center" wrapText="1"/>
    </xf>
    <xf numFmtId="3" fontId="29" fillId="4" borderId="0" xfId="216" applyNumberFormat="1" applyFont="1" applyFill="1" applyBorder="1" applyAlignment="1" applyProtection="1">
      <alignment horizontal="center" vertical="center"/>
      <protection locked="0"/>
    </xf>
    <xf numFmtId="0" fontId="30" fillId="2" borderId="13" xfId="215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9" fontId="29" fillId="4" borderId="0" xfId="217" applyFont="1" applyFill="1" applyBorder="1" applyAlignment="1">
      <alignment horizontal="center" vertical="center"/>
    </xf>
    <xf numFmtId="3" fontId="29" fillId="4" borderId="0" xfId="216" applyNumberFormat="1" applyFont="1" applyFill="1" applyBorder="1" applyAlignment="1">
      <alignment horizontal="center" vertical="center"/>
    </xf>
    <xf numFmtId="170" fontId="29" fillId="4" borderId="0" xfId="216" applyNumberFormat="1" applyFont="1" applyFill="1" applyBorder="1" applyAlignment="1">
      <alignment horizontal="center" vertical="center"/>
    </xf>
    <xf numFmtId="2" fontId="29" fillId="4" borderId="0" xfId="215" applyNumberFormat="1" applyFont="1" applyFill="1" applyAlignment="1">
      <alignment horizontal="center" vertical="center"/>
    </xf>
    <xf numFmtId="172" fontId="29" fillId="4" borderId="0" xfId="215" applyNumberFormat="1" applyFont="1" applyFill="1" applyAlignment="1">
      <alignment horizontal="center" vertical="center"/>
    </xf>
    <xf numFmtId="3" fontId="29" fillId="4" borderId="15" xfId="216" applyNumberFormat="1" applyFont="1" applyFill="1" applyBorder="1" applyAlignment="1">
      <alignment horizontal="center" vertical="center"/>
    </xf>
    <xf numFmtId="172" fontId="29" fillId="4" borderId="15" xfId="215" applyNumberFormat="1" applyFont="1" applyFill="1" applyBorder="1" applyAlignment="1">
      <alignment horizontal="center" vertical="center"/>
    </xf>
    <xf numFmtId="172" fontId="29" fillId="6" borderId="13" xfId="215" applyNumberFormat="1" applyFont="1" applyFill="1" applyBorder="1" applyAlignment="1">
      <alignment horizontal="center" vertical="center" wrapText="1"/>
    </xf>
    <xf numFmtId="172" fontId="29" fillId="6" borderId="16" xfId="215" applyNumberFormat="1" applyFont="1" applyFill="1" applyBorder="1" applyAlignment="1">
      <alignment horizontal="center" vertical="center" wrapText="1"/>
    </xf>
    <xf numFmtId="172" fontId="29" fillId="4" borderId="0" xfId="216" applyNumberFormat="1" applyFont="1" applyFill="1" applyBorder="1" applyAlignment="1">
      <alignment horizontal="center" vertical="center"/>
    </xf>
    <xf numFmtId="172" fontId="29" fillId="6" borderId="0" xfId="215" applyNumberFormat="1" applyFont="1" applyFill="1" applyAlignment="1">
      <alignment horizontal="center" vertical="center" wrapText="1"/>
    </xf>
    <xf numFmtId="172" fontId="29" fillId="6" borderId="15" xfId="215" applyNumberFormat="1" applyFont="1" applyFill="1" applyBorder="1" applyAlignment="1">
      <alignment horizontal="center" vertical="center" wrapText="1"/>
    </xf>
    <xf numFmtId="172" fontId="29" fillId="6" borderId="0" xfId="215" applyNumberFormat="1" applyFont="1" applyFill="1" applyAlignment="1">
      <alignment horizontal="center" vertical="center"/>
    </xf>
    <xf numFmtId="172" fontId="29" fillId="6" borderId="15" xfId="215" applyNumberFormat="1" applyFont="1" applyFill="1" applyBorder="1" applyAlignment="1">
      <alignment horizontal="center" vertical="center"/>
    </xf>
    <xf numFmtId="172" fontId="27" fillId="4" borderId="11" xfId="215" applyNumberFormat="1" applyFont="1" applyFill="1" applyBorder="1" applyAlignment="1">
      <alignment horizontal="center" vertical="center"/>
    </xf>
    <xf numFmtId="172" fontId="27" fillId="4" borderId="0" xfId="215" applyNumberFormat="1" applyFont="1" applyFill="1" applyAlignment="1">
      <alignment horizontal="center" vertical="center"/>
    </xf>
    <xf numFmtId="172" fontId="27" fillId="4" borderId="15" xfId="215" applyNumberFormat="1" applyFont="1" applyFill="1" applyBorder="1" applyAlignment="1">
      <alignment horizontal="center" vertical="center"/>
    </xf>
    <xf numFmtId="172" fontId="29" fillId="4" borderId="15" xfId="216" applyNumberFormat="1" applyFont="1" applyFill="1" applyBorder="1" applyAlignment="1">
      <alignment horizontal="center" vertical="center"/>
    </xf>
    <xf numFmtId="0" fontId="27" fillId="4" borderId="15" xfId="0" applyFont="1" applyFill="1" applyBorder="1" applyAlignment="1">
      <alignment horizontal="center"/>
    </xf>
    <xf numFmtId="2" fontId="29" fillId="4" borderId="0" xfId="215" applyNumberFormat="1" applyFont="1" applyFill="1" applyAlignment="1">
      <alignment horizontal="center" vertical="center" wrapText="1"/>
    </xf>
    <xf numFmtId="0" fontId="29" fillId="4" borderId="0" xfId="215" applyFont="1" applyFill="1" applyAlignment="1">
      <alignment horizontal="center" vertical="center" wrapText="1"/>
    </xf>
    <xf numFmtId="0" fontId="29" fillId="4" borderId="15" xfId="215" applyFont="1" applyFill="1" applyBorder="1" applyAlignment="1">
      <alignment horizontal="center" vertical="center" wrapText="1"/>
    </xf>
    <xf numFmtId="3" fontId="29" fillId="4" borderId="15" xfId="216" applyNumberFormat="1" applyFont="1" applyFill="1" applyBorder="1" applyAlignment="1" applyProtection="1">
      <alignment horizontal="center" vertical="center"/>
      <protection locked="0"/>
    </xf>
    <xf numFmtId="9" fontId="29" fillId="4" borderId="15" xfId="217" applyFont="1" applyFill="1" applyBorder="1" applyAlignment="1">
      <alignment horizontal="center" vertical="center"/>
    </xf>
    <xf numFmtId="170" fontId="29" fillId="4" borderId="15" xfId="216" applyNumberFormat="1" applyFont="1" applyFill="1" applyBorder="1" applyAlignment="1">
      <alignment horizontal="center" vertical="center"/>
    </xf>
    <xf numFmtId="2" fontId="29" fillId="4" borderId="15" xfId="215" applyNumberFormat="1" applyFont="1" applyFill="1" applyBorder="1" applyAlignment="1">
      <alignment horizontal="center" vertical="center"/>
    </xf>
    <xf numFmtId="3" fontId="27" fillId="4" borderId="0" xfId="216" applyNumberFormat="1" applyFont="1" applyFill="1" applyBorder="1" applyAlignment="1">
      <alignment horizontal="center" vertical="center"/>
    </xf>
    <xf numFmtId="3" fontId="27" fillId="4" borderId="15" xfId="216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9" fillId="0" borderId="1" xfId="215" applyFont="1" applyBorder="1" applyAlignment="1">
      <alignment horizontal="center" vertical="center" wrapText="1"/>
    </xf>
    <xf numFmtId="168" fontId="26" fillId="0" borderId="0" xfId="0" applyNumberFormat="1" applyFont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</cellXfs>
  <cellStyles count="222">
    <cellStyle name="Comma 2 2" xfId="216" xr:uid="{00000000-0005-0000-0000-000000000000}"/>
    <cellStyle name="Followed Hyperlink" xfId="61" builtinId="9" hidden="1"/>
    <cellStyle name="Followed Hyperlink" xfId="119" builtinId="9" hidden="1"/>
    <cellStyle name="Followed Hyperlink" xfId="185" builtinId="9" hidden="1"/>
    <cellStyle name="Followed Hyperlink" xfId="193" builtinId="9" hidden="1"/>
    <cellStyle name="Followed Hyperlink" xfId="145" builtinId="9" hidden="1"/>
    <cellStyle name="Followed Hyperlink" xfId="43" builtinId="9" hidden="1"/>
    <cellStyle name="Followed Hyperlink" xfId="25" builtinId="9" hidden="1"/>
    <cellStyle name="Followed Hyperlink" xfId="11" builtinId="9" hidden="1"/>
    <cellStyle name="Followed Hyperlink" xfId="195" builtinId="9" hidden="1"/>
    <cellStyle name="Followed Hyperlink" xfId="41" builtinId="9" hidden="1"/>
    <cellStyle name="Followed Hyperlink" xfId="139" builtinId="9" hidden="1"/>
    <cellStyle name="Followed Hyperlink" xfId="51" builtinId="9" hidden="1"/>
    <cellStyle name="Followed Hyperlink" xfId="15" builtinId="9" hidden="1"/>
    <cellStyle name="Followed Hyperlink" xfId="9" builtinId="9" hidden="1"/>
    <cellStyle name="Followed Hyperlink" xfId="35" builtinId="9" hidden="1"/>
    <cellStyle name="Followed Hyperlink" xfId="175" builtinId="9" hidden="1"/>
    <cellStyle name="Followed Hyperlink" xfId="209" builtinId="9" hidden="1"/>
    <cellStyle name="Followed Hyperlink" xfId="220" builtinId="9" hidden="1"/>
    <cellStyle name="Followed Hyperlink" xfId="221" builtinId="9" hidden="1"/>
    <cellStyle name="Followed Hyperlink" xfId="121" builtinId="9" hidden="1"/>
    <cellStyle name="Followed Hyperlink" xfId="173" builtinId="9" hidden="1"/>
    <cellStyle name="Followed Hyperlink" xfId="211" builtinId="9" hidden="1"/>
    <cellStyle name="Followed Hyperlink" xfId="69" builtinId="9" hidden="1"/>
    <cellStyle name="Followed Hyperlink" xfId="179" builtinId="9" hidden="1"/>
    <cellStyle name="Followed Hyperlink" xfId="7" builtinId="9" hidden="1"/>
    <cellStyle name="Followed Hyperlink" xfId="19" builtinId="9" hidden="1"/>
    <cellStyle name="Followed Hyperlink" xfId="181" builtinId="9" hidden="1"/>
    <cellStyle name="Followed Hyperlink" xfId="17" builtinId="9" hidden="1"/>
    <cellStyle name="Followed Hyperlink" xfId="183" builtinId="9" hidden="1"/>
    <cellStyle name="Followed Hyperlink" xfId="133" builtinId="9" hidden="1"/>
    <cellStyle name="Followed Hyperlink" xfId="29" builtinId="9" hidden="1"/>
    <cellStyle name="Followed Hyperlink" xfId="153" builtinId="9" hidden="1"/>
    <cellStyle name="Followed Hyperlink" xfId="81" builtinId="9" hidden="1"/>
    <cellStyle name="Followed Hyperlink" xfId="111" builtinId="9" hidden="1"/>
    <cellStyle name="Followed Hyperlink" xfId="187" builtinId="9" hidden="1"/>
    <cellStyle name="Followed Hyperlink" xfId="197" builtinId="9" hidden="1"/>
    <cellStyle name="Followed Hyperlink" xfId="141" builtinId="9" hidden="1"/>
    <cellStyle name="Followed Hyperlink" xfId="159" builtinId="9" hidden="1"/>
    <cellStyle name="Followed Hyperlink" xfId="63" builtinId="9" hidden="1"/>
    <cellStyle name="Followed Hyperlink" xfId="143" builtinId="9" hidden="1"/>
    <cellStyle name="Followed Hyperlink" xfId="53" builtinId="9" hidden="1"/>
    <cellStyle name="Followed Hyperlink" xfId="105" builtinId="9" hidden="1"/>
    <cellStyle name="Followed Hyperlink" xfId="89" builtinId="9" hidden="1"/>
    <cellStyle name="Followed Hyperlink" xfId="131" builtinId="9" hidden="1"/>
    <cellStyle name="Followed Hyperlink" xfId="151" builtinId="9" hidden="1"/>
    <cellStyle name="Followed Hyperlink" xfId="71" builtinId="9" hidden="1"/>
    <cellStyle name="Followed Hyperlink" xfId="115" builtinId="9" hidden="1"/>
    <cellStyle name="Followed Hyperlink" xfId="67" builtinId="9" hidden="1"/>
    <cellStyle name="Followed Hyperlink" xfId="87" builtinId="9" hidden="1"/>
    <cellStyle name="Followed Hyperlink" xfId="75" builtinId="9" hidden="1"/>
    <cellStyle name="Followed Hyperlink" xfId="45" builtinId="9" hidden="1"/>
    <cellStyle name="Followed Hyperlink" xfId="125" builtinId="9" hidden="1"/>
    <cellStyle name="Followed Hyperlink" xfId="147" builtinId="9" hidden="1"/>
    <cellStyle name="Followed Hyperlink" xfId="107" builtinId="9" hidden="1"/>
    <cellStyle name="Followed Hyperlink" xfId="101" builtinId="9" hidden="1"/>
    <cellStyle name="Followed Hyperlink" xfId="13" builtinId="9" hidden="1"/>
    <cellStyle name="Followed Hyperlink" xfId="167" builtinId="9" hidden="1"/>
    <cellStyle name="Followed Hyperlink" xfId="163" builtinId="9" hidden="1"/>
    <cellStyle name="Followed Hyperlink" xfId="95" builtinId="9" hidden="1"/>
    <cellStyle name="Followed Hyperlink" xfId="31" builtinId="9" hidden="1"/>
    <cellStyle name="Followed Hyperlink" xfId="83" builtinId="9" hidden="1"/>
    <cellStyle name="Followed Hyperlink" xfId="109" builtinId="9" hidden="1"/>
    <cellStyle name="Followed Hyperlink" xfId="135" builtinId="9" hidden="1"/>
    <cellStyle name="Followed Hyperlink" xfId="161" builtinId="9" hidden="1"/>
    <cellStyle name="Followed Hyperlink" xfId="49" builtinId="9" hidden="1"/>
    <cellStyle name="Followed Hyperlink" xfId="213" builtinId="9" hidden="1"/>
    <cellStyle name="Followed Hyperlink" xfId="21" builtinId="9" hidden="1"/>
    <cellStyle name="Followed Hyperlink" xfId="127" builtinId="9" hidden="1"/>
    <cellStyle name="Followed Hyperlink" xfId="5" builtinId="9" hidden="1"/>
    <cellStyle name="Followed Hyperlink" xfId="189" builtinId="9" hidden="1"/>
    <cellStyle name="Followed Hyperlink" xfId="3" builtinId="9" hidden="1"/>
    <cellStyle name="Followed Hyperlink" xfId="33" builtinId="9" hidden="1"/>
    <cellStyle name="Followed Hyperlink" xfId="137" builtinId="9" hidden="1"/>
    <cellStyle name="Followed Hyperlink" xfId="39" builtinId="9" hidden="1"/>
    <cellStyle name="Followed Hyperlink" xfId="47" builtinId="9" hidden="1"/>
    <cellStyle name="Followed Hyperlink" xfId="91" builtinId="9" hidden="1"/>
    <cellStyle name="Followed Hyperlink" xfId="23" builtinId="9" hidden="1"/>
    <cellStyle name="Followed Hyperlink" xfId="177" builtinId="9" hidden="1"/>
    <cellStyle name="Followed Hyperlink" xfId="203" builtinId="9" hidden="1"/>
    <cellStyle name="Followed Hyperlink" xfId="165" builtinId="9" hidden="1"/>
    <cellStyle name="Followed Hyperlink" xfId="55" builtinId="9" hidden="1"/>
    <cellStyle name="Followed Hyperlink" xfId="85" builtinId="9" hidden="1"/>
    <cellStyle name="Followed Hyperlink" xfId="79" builtinId="9" hidden="1"/>
    <cellStyle name="Followed Hyperlink" xfId="129" builtinId="9" hidden="1"/>
    <cellStyle name="Followed Hyperlink" xfId="103" builtinId="9" hidden="1"/>
    <cellStyle name="Followed Hyperlink" xfId="155" builtinId="9" hidden="1"/>
    <cellStyle name="Followed Hyperlink" xfId="57" builtinId="9" hidden="1"/>
    <cellStyle name="Followed Hyperlink" xfId="218" builtinId="9" hidden="1"/>
    <cellStyle name="Followed Hyperlink" xfId="99" builtinId="9" hidden="1"/>
    <cellStyle name="Followed Hyperlink" xfId="205" builtinId="9" hidden="1"/>
    <cellStyle name="Followed Hyperlink" xfId="59" builtinId="9" hidden="1"/>
    <cellStyle name="Followed Hyperlink" xfId="199" builtinId="9" hidden="1"/>
    <cellStyle name="Followed Hyperlink" xfId="113" builtinId="9" hidden="1"/>
    <cellStyle name="Followed Hyperlink" xfId="149" builtinId="9" hidden="1"/>
    <cellStyle name="Followed Hyperlink" xfId="123" builtinId="9" hidden="1"/>
    <cellStyle name="Followed Hyperlink" xfId="207" builtinId="9" hidden="1"/>
    <cellStyle name="Followed Hyperlink" xfId="73" builtinId="9" hidden="1"/>
    <cellStyle name="Followed Hyperlink" xfId="77" builtinId="9" hidden="1"/>
    <cellStyle name="Followed Hyperlink" xfId="219" builtinId="9" hidden="1"/>
    <cellStyle name="Followed Hyperlink" xfId="117" builtinId="9" hidden="1"/>
    <cellStyle name="Followed Hyperlink" xfId="157" builtinId="9" hidden="1"/>
    <cellStyle name="Followed Hyperlink" xfId="201" builtinId="9" hidden="1"/>
    <cellStyle name="Followed Hyperlink" xfId="65" builtinId="9" hidden="1"/>
    <cellStyle name="Followed Hyperlink" xfId="169" builtinId="9" hidden="1"/>
    <cellStyle name="Followed Hyperlink" xfId="37" builtinId="9" hidden="1"/>
    <cellStyle name="Followed Hyperlink" xfId="171" builtinId="9" hidden="1"/>
    <cellStyle name="Followed Hyperlink" xfId="97" builtinId="9" hidden="1"/>
    <cellStyle name="Followed Hyperlink" xfId="93" builtinId="9" hidden="1"/>
    <cellStyle name="Followed Hyperlink" xfId="27" builtinId="9" hidden="1"/>
    <cellStyle name="Followed Hyperlink" xfId="191" builtinId="9" hidden="1"/>
    <cellStyle name="Hyperlink" xfId="114" builtinId="8" hidden="1"/>
    <cellStyle name="Hyperlink" xfId="66" builtinId="8" hidden="1"/>
    <cellStyle name="Hyperlink" xfId="10" builtinId="8" hidden="1"/>
    <cellStyle name="Hyperlink" xfId="158" builtinId="8" hidden="1"/>
    <cellStyle name="Hyperlink" xfId="102" builtinId="8" hidden="1"/>
    <cellStyle name="Hyperlink" xfId="190" builtinId="8" hidden="1"/>
    <cellStyle name="Hyperlink" xfId="122" builtinId="8" hidden="1"/>
    <cellStyle name="Hyperlink" xfId="144" builtinId="8" hidden="1"/>
    <cellStyle name="Hyperlink" xfId="24" builtinId="8" hidden="1"/>
    <cellStyle name="Hyperlink" xfId="202" builtinId="8" hidden="1"/>
    <cellStyle name="Hyperlink" xfId="160" builtinId="8" hidden="1"/>
    <cellStyle name="Hyperlink" xfId="162" builtinId="8" hidden="1"/>
    <cellStyle name="Hyperlink" xfId="138" builtinId="8" hidden="1"/>
    <cellStyle name="Hyperlink" xfId="128" builtinId="8" hidden="1"/>
    <cellStyle name="Hyperlink" xfId="104" builtinId="8" hidden="1"/>
    <cellStyle name="Hyperlink" xfId="170" builtinId="8" hidden="1"/>
    <cellStyle name="Hyperlink" xfId="154" builtinId="8" hidden="1"/>
    <cellStyle name="Hyperlink" xfId="134" builtinId="8" hidden="1"/>
    <cellStyle name="Hyperlink" xfId="8" builtinId="8" hidden="1"/>
    <cellStyle name="Hyperlink" xfId="142" builtinId="8" hidden="1"/>
    <cellStyle name="Hyperlink" xfId="20" builtinId="8" hidden="1"/>
    <cellStyle name="Hyperlink" xfId="38" builtinId="8" hidden="1"/>
    <cellStyle name="Hyperlink" xfId="166" builtinId="8" hidden="1"/>
    <cellStyle name="Hyperlink" xfId="200" builtinId="8" hidden="1"/>
    <cellStyle name="Hyperlink" xfId="60" builtinId="8" hidden="1"/>
    <cellStyle name="Hyperlink" xfId="132" builtinId="8" hidden="1"/>
    <cellStyle name="Hyperlink" xfId="6" builtinId="8" hidden="1"/>
    <cellStyle name="Hyperlink" xfId="120" builtinId="8" hidden="1"/>
    <cellStyle name="Hyperlink" xfId="180" builtinId="8" hidden="1"/>
    <cellStyle name="Hyperlink" xfId="172" builtinId="8" hidden="1"/>
    <cellStyle name="Hyperlink" xfId="124" builtinId="8" hidden="1"/>
    <cellStyle name="Hyperlink" xfId="192" builtinId="8" hidden="1"/>
    <cellStyle name="Hyperlink" xfId="176" builtinId="8" hidden="1"/>
    <cellStyle name="Hyperlink" xfId="182" builtinId="8" hidden="1"/>
    <cellStyle name="Hyperlink" xfId="72" builtinId="8" hidden="1"/>
    <cellStyle name="Hyperlink" xfId="146" builtinId="8" hidden="1"/>
    <cellStyle name="Hyperlink" xfId="168" builtinId="8" hidden="1"/>
    <cellStyle name="Hyperlink" xfId="204" builtinId="8" hidden="1"/>
    <cellStyle name="Hyperlink" xfId="184" builtinId="8" hidden="1"/>
    <cellStyle name="Hyperlink" xfId="90" builtinId="8" hidden="1"/>
    <cellStyle name="Hyperlink" xfId="116" builtinId="8" hidden="1"/>
    <cellStyle name="Hyperlink" xfId="28" builtinId="8" hidden="1"/>
    <cellStyle name="Hyperlink" xfId="198" builtinId="8" hidden="1"/>
    <cellStyle name="Hyperlink" xfId="56" builtinId="8" hidden="1"/>
    <cellStyle name="Hyperlink" xfId="212" builtinId="8" hidden="1"/>
    <cellStyle name="Hyperlink" xfId="82" builtinId="8" hidden="1"/>
    <cellStyle name="Hyperlink" xfId="210" builtinId="8" hidden="1"/>
    <cellStyle name="Hyperlink" xfId="118" builtinId="8" hidden="1"/>
    <cellStyle name="Hyperlink" xfId="164" builtinId="8" hidden="1"/>
    <cellStyle name="Hyperlink" xfId="152" builtinId="8" hidden="1"/>
    <cellStyle name="Hyperlink" xfId="100" builtinId="8" hidden="1"/>
    <cellStyle name="Hyperlink" xfId="186" builtinId="8" hidden="1"/>
    <cellStyle name="Hyperlink" xfId="112" builtinId="8" hidden="1"/>
    <cellStyle name="Hyperlink" xfId="80" builtinId="8" hidden="1"/>
    <cellStyle name="Hyperlink" xfId="92" builtinId="8" hidden="1"/>
    <cellStyle name="Hyperlink" xfId="148" builtinId="8" hidden="1"/>
    <cellStyle name="Hyperlink" xfId="40" builtinId="8" hidden="1"/>
    <cellStyle name="Hyperlink" xfId="188" builtinId="8" hidden="1"/>
    <cellStyle name="Hyperlink" xfId="50" builtinId="8" hidden="1"/>
    <cellStyle name="Hyperlink" xfId="76" builtinId="8" hidden="1"/>
    <cellStyle name="Hyperlink" xfId="130" builtinId="8" hidden="1"/>
    <cellStyle name="Hyperlink" xfId="206" builtinId="8" hidden="1"/>
    <cellStyle name="Hyperlink" xfId="16" builtinId="8" hidden="1"/>
    <cellStyle name="Hyperlink" xfId="94" builtinId="8" hidden="1"/>
    <cellStyle name="Hyperlink" xfId="96" builtinId="8" hidden="1"/>
    <cellStyle name="Hyperlink" xfId="108" builtinId="8" hidden="1"/>
    <cellStyle name="Hyperlink" xfId="70" builtinId="8" hidden="1"/>
    <cellStyle name="Hyperlink" xfId="58" builtinId="8" hidden="1"/>
    <cellStyle name="Hyperlink" xfId="140" builtinId="8" hidden="1"/>
    <cellStyle name="Hyperlink" xfId="36" builtinId="8" hidden="1"/>
    <cellStyle name="Hyperlink" xfId="52" builtinId="8" hidden="1"/>
    <cellStyle name="Hyperlink" xfId="88" builtinId="8" hidden="1"/>
    <cellStyle name="Hyperlink" xfId="64" builtinId="8" hidden="1"/>
    <cellStyle name="Hyperlink" xfId="156" builtinId="8" hidden="1"/>
    <cellStyle name="Hyperlink" xfId="110" builtinId="8" hidden="1"/>
    <cellStyle name="Hyperlink" xfId="74" builtinId="8" hidden="1"/>
    <cellStyle name="Hyperlink" xfId="126" builtinId="8" hidden="1"/>
    <cellStyle name="Hyperlink" xfId="86" builtinId="8" hidden="1"/>
    <cellStyle name="Hyperlink" xfId="150" builtinId="8" hidden="1"/>
    <cellStyle name="Hyperlink" xfId="84" builtinId="8" hidden="1"/>
    <cellStyle name="Hyperlink" xfId="14" builtinId="8" hidden="1"/>
    <cellStyle name="Hyperlink" xfId="98" builtinId="8" hidden="1"/>
    <cellStyle name="Hyperlink" xfId="178" builtinId="8" hidden="1"/>
    <cellStyle name="Hyperlink" xfId="62" builtinId="8" hidden="1"/>
    <cellStyle name="Hyperlink" xfId="106" builtinId="8" hidden="1"/>
    <cellStyle name="Hyperlink" xfId="46" builtinId="8" hidden="1"/>
    <cellStyle name="Hyperlink" xfId="48" builtinId="8" hidden="1"/>
    <cellStyle name="Hyperlink" xfId="30" builtinId="8" hidden="1"/>
    <cellStyle name="Hyperlink" xfId="22" builtinId="8" hidden="1"/>
    <cellStyle name="Hyperlink" xfId="4" builtinId="8" hidden="1"/>
    <cellStyle name="Hyperlink" xfId="54" builtinId="8" hidden="1"/>
    <cellStyle name="Hyperlink" xfId="42" builtinId="8" hidden="1"/>
    <cellStyle name="Hyperlink" xfId="26" builtinId="8" hidden="1"/>
    <cellStyle name="Hyperlink" xfId="208" builtinId="8" hidden="1"/>
    <cellStyle name="Hyperlink" xfId="32" builtinId="8" hidden="1"/>
    <cellStyle name="Hyperlink" xfId="194" builtinId="8" hidden="1"/>
    <cellStyle name="Hyperlink" xfId="78" builtinId="8" hidden="1"/>
    <cellStyle name="Hyperlink" xfId="2" builtinId="8" hidden="1"/>
    <cellStyle name="Hyperlink" xfId="68" builtinId="8" hidden="1"/>
    <cellStyle name="Hyperlink" xfId="18" builtinId="8" hidden="1"/>
    <cellStyle name="Hyperlink" xfId="34" builtinId="8" hidden="1"/>
    <cellStyle name="Hyperlink" xfId="174" builtinId="8" hidden="1"/>
    <cellStyle name="Hyperlink" xfId="196" builtinId="8" hidden="1"/>
    <cellStyle name="Hyperlink" xfId="44" builtinId="8" hidden="1"/>
    <cellStyle name="Hyperlink" xfId="136" builtinId="8" hidden="1"/>
    <cellStyle name="Hyperlink" xfId="12" builtinId="8" hidden="1"/>
    <cellStyle name="Hyperlink" xfId="214" builtinId="8"/>
    <cellStyle name="Normal" xfId="0" builtinId="0"/>
    <cellStyle name="Normal 2 2" xfId="215" xr:uid="{00000000-0005-0000-0000-0000DB000000}"/>
    <cellStyle name="Percent" xfId="1" builtinId="5"/>
    <cellStyle name="Percent 2 2" xfId="217" xr:uid="{00000000-0005-0000-0000-0000DD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2</xdr:row>
      <xdr:rowOff>9525</xdr:rowOff>
    </xdr:from>
    <xdr:to>
      <xdr:col>5</xdr:col>
      <xdr:colOff>1638478</xdr:colOff>
      <xdr:row>2</xdr:row>
      <xdr:rowOff>180071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2421C-0E8A-4839-97B3-EE138DF26468}"/>
            </a:ext>
            <a:ext uri="{147F2762-F138-4A5C-976F-8EAC2B608ADB}">
              <a16:predDERef xmlns:a16="http://schemas.microsoft.com/office/drawing/2014/main" pred="{DA06792F-1509-4E92-8682-FB56B0C2F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390525"/>
          <a:ext cx="1467028" cy="1705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0</xdr:col>
      <xdr:colOff>1304925</xdr:colOff>
      <xdr:row>4</xdr:row>
      <xdr:rowOff>14903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0"/>
          <a:ext cx="1181100" cy="1100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158"/>
  <sheetViews>
    <sheetView showGridLines="0" tabSelected="1" topLeftCell="A35" zoomScale="85" zoomScaleNormal="85" zoomScalePageLayoutView="125" workbookViewId="0">
      <selection activeCell="H47" sqref="H47"/>
    </sheetView>
  </sheetViews>
  <sheetFormatPr defaultColWidth="10.875" defaultRowHeight="15.6"/>
  <cols>
    <col min="1" max="1" width="36.875" style="1" customWidth="1"/>
    <col min="2" max="2" width="1" style="1" customWidth="1"/>
    <col min="3" max="3" width="15.75" style="1" customWidth="1"/>
    <col min="4" max="4" width="18.875" style="1" customWidth="1"/>
    <col min="5" max="5" width="5.625" style="1" customWidth="1"/>
    <col min="6" max="6" width="25.875" style="1" customWidth="1"/>
    <col min="7" max="7" width="11.375" style="1" customWidth="1"/>
    <col min="8" max="8" width="16.5" style="1" customWidth="1"/>
    <col min="9" max="16384" width="10.875" style="1"/>
  </cols>
  <sheetData>
    <row r="4" spans="1:8" ht="45.95" customHeight="1">
      <c r="A4" s="172"/>
      <c r="B4" s="172"/>
      <c r="C4" s="172"/>
      <c r="D4" s="172"/>
      <c r="E4" s="172"/>
      <c r="F4" s="172"/>
      <c r="G4" s="172"/>
      <c r="H4" s="172"/>
    </row>
    <row r="5" spans="1:8" ht="45.95" customHeight="1">
      <c r="A5" s="174" t="s">
        <v>0</v>
      </c>
      <c r="B5" s="174"/>
      <c r="C5" s="174"/>
      <c r="D5" s="174"/>
      <c r="E5" s="174"/>
      <c r="F5" s="174"/>
      <c r="G5" s="174"/>
      <c r="H5" s="174"/>
    </row>
    <row r="6" spans="1:8" ht="15" customHeight="1">
      <c r="A6" s="173" t="s">
        <v>1</v>
      </c>
      <c r="B6" s="173"/>
      <c r="C6" s="173"/>
      <c r="D6" s="173"/>
      <c r="E6" s="173"/>
      <c r="F6" s="173"/>
      <c r="G6" s="173"/>
      <c r="H6" s="173"/>
    </row>
    <row r="7" spans="1:8" ht="15" customHeight="1">
      <c r="A7" s="173" t="s">
        <v>2</v>
      </c>
      <c r="B7" s="173"/>
      <c r="C7" s="173"/>
      <c r="D7" s="173"/>
      <c r="E7" s="173"/>
      <c r="F7" s="173"/>
      <c r="G7" s="173"/>
      <c r="H7" s="173"/>
    </row>
    <row r="8" spans="1:8" ht="23.1" customHeight="1"/>
    <row r="9" spans="1:8" ht="18">
      <c r="A9" s="162" t="s">
        <v>3</v>
      </c>
      <c r="B9" s="163"/>
      <c r="C9" s="163"/>
      <c r="D9" s="164"/>
      <c r="E9" s="10"/>
      <c r="F9" s="162" t="s">
        <v>4</v>
      </c>
      <c r="G9" s="163"/>
      <c r="H9" s="164"/>
    </row>
    <row r="10" spans="1:8">
      <c r="A10" s="11" t="s">
        <v>5</v>
      </c>
      <c r="C10" s="156"/>
      <c r="D10" s="157"/>
      <c r="F10" s="3" t="s">
        <v>6</v>
      </c>
      <c r="G10" s="165"/>
      <c r="H10" s="166"/>
    </row>
    <row r="11" spans="1:8">
      <c r="A11" s="11" t="s">
        <v>7</v>
      </c>
      <c r="C11" s="156"/>
      <c r="D11" s="157"/>
      <c r="F11" s="3" t="s">
        <v>8</v>
      </c>
      <c r="G11" s="167"/>
      <c r="H11" s="167"/>
    </row>
    <row r="12" spans="1:8">
      <c r="A12" s="11" t="s">
        <v>9</v>
      </c>
      <c r="C12" s="156"/>
      <c r="D12" s="157"/>
      <c r="F12" s="3" t="s">
        <v>10</v>
      </c>
      <c r="G12" s="140"/>
      <c r="H12" s="141"/>
    </row>
    <row r="13" spans="1:8">
      <c r="A13" s="11" t="s">
        <v>11</v>
      </c>
      <c r="C13" s="156"/>
      <c r="D13" s="157"/>
      <c r="F13" s="3" t="s">
        <v>12</v>
      </c>
      <c r="G13" s="158"/>
      <c r="H13" s="159"/>
    </row>
    <row r="14" spans="1:8">
      <c r="A14" s="11" t="s">
        <v>13</v>
      </c>
      <c r="C14" s="156"/>
      <c r="D14" s="157"/>
      <c r="F14" s="3" t="s">
        <v>14</v>
      </c>
      <c r="G14" s="158"/>
      <c r="H14" s="159"/>
    </row>
    <row r="15" spans="1:8">
      <c r="A15" s="11" t="s">
        <v>15</v>
      </c>
      <c r="C15" s="156"/>
      <c r="D15" s="157"/>
      <c r="F15" s="3" t="s">
        <v>16</v>
      </c>
      <c r="G15" s="168"/>
      <c r="H15" s="169"/>
    </row>
    <row r="16" spans="1:8">
      <c r="A16" s="12" t="s">
        <v>17</v>
      </c>
      <c r="B16" s="15"/>
      <c r="C16" s="160"/>
      <c r="D16" s="161"/>
    </row>
    <row r="17" spans="1:8" ht="30.95">
      <c r="A17" s="9"/>
      <c r="F17" s="142" t="s">
        <v>18</v>
      </c>
      <c r="G17" s="170" t="s">
        <v>19</v>
      </c>
      <c r="H17" s="171"/>
    </row>
    <row r="18" spans="1:8">
      <c r="A18" s="9"/>
    </row>
    <row r="19" spans="1:8" ht="18">
      <c r="A19" s="2"/>
      <c r="C19" s="2"/>
      <c r="D19" s="2"/>
      <c r="F19" s="162" t="s">
        <v>20</v>
      </c>
      <c r="G19" s="163"/>
      <c r="H19" s="164"/>
    </row>
    <row r="20" spans="1:8">
      <c r="A20" s="2"/>
      <c r="C20" s="2"/>
      <c r="D20" s="2"/>
      <c r="F20" s="3" t="s">
        <v>21</v>
      </c>
      <c r="G20" s="165" t="s">
        <v>19</v>
      </c>
      <c r="H20" s="166"/>
    </row>
    <row r="21" spans="1:8">
      <c r="A21" s="2"/>
      <c r="C21" s="2"/>
      <c r="D21" s="2"/>
      <c r="F21" s="3" t="s">
        <v>22</v>
      </c>
      <c r="G21" s="167" t="s">
        <v>23</v>
      </c>
      <c r="H21" s="167"/>
    </row>
    <row r="22" spans="1:8">
      <c r="A22" s="2"/>
      <c r="C22" s="2"/>
      <c r="D22" s="2"/>
      <c r="F22" s="3" t="s">
        <v>24</v>
      </c>
      <c r="G22" s="165" t="s">
        <v>25</v>
      </c>
      <c r="H22" s="166"/>
    </row>
    <row r="23" spans="1:8">
      <c r="A23" s="2"/>
      <c r="C23" s="2"/>
      <c r="D23" s="2"/>
      <c r="F23" s="3" t="s">
        <v>26</v>
      </c>
      <c r="G23" s="165" t="s">
        <v>27</v>
      </c>
      <c r="H23" s="166"/>
    </row>
    <row r="24" spans="1:8">
      <c r="A24" s="2"/>
      <c r="C24" s="2"/>
      <c r="D24" s="2"/>
      <c r="F24" s="3" t="s">
        <v>28</v>
      </c>
      <c r="G24" s="217">
        <v>4.5</v>
      </c>
      <c r="H24" s="218"/>
    </row>
    <row r="25" spans="1:8">
      <c r="A25" s="2"/>
      <c r="C25" s="2"/>
      <c r="D25" s="2"/>
      <c r="F25" s="3" t="s">
        <v>29</v>
      </c>
      <c r="G25" s="215" t="s">
        <v>30</v>
      </c>
      <c r="H25" s="216"/>
    </row>
    <row r="26" spans="1:8">
      <c r="A26" s="2"/>
      <c r="C26" s="2"/>
      <c r="D26" s="2"/>
      <c r="F26" s="109"/>
      <c r="G26" s="110"/>
      <c r="H26" s="111"/>
    </row>
    <row r="27" spans="1:8" ht="18">
      <c r="A27" s="162" t="s">
        <v>31</v>
      </c>
      <c r="B27" s="163"/>
      <c r="C27" s="163"/>
      <c r="D27" s="163"/>
      <c r="E27" s="163"/>
      <c r="F27" s="163"/>
      <c r="G27" s="163"/>
      <c r="H27" s="164"/>
    </row>
    <row r="28" spans="1:8" ht="72.95" customHeight="1">
      <c r="A28" s="222" t="s">
        <v>32</v>
      </c>
      <c r="B28" s="223"/>
      <c r="C28" s="223"/>
      <c r="D28" s="223"/>
      <c r="E28" s="223"/>
      <c r="F28" s="223"/>
      <c r="G28" s="223"/>
      <c r="H28" s="224"/>
    </row>
    <row r="29" spans="1:8" ht="15" customHeight="1"/>
    <row r="30" spans="1:8" ht="18">
      <c r="A30" s="162" t="s">
        <v>33</v>
      </c>
      <c r="B30" s="163"/>
      <c r="C30" s="163"/>
      <c r="D30" s="163"/>
      <c r="E30" s="163"/>
      <c r="F30" s="163"/>
      <c r="G30" s="163"/>
      <c r="H30" s="164"/>
    </row>
    <row r="31" spans="1:8" ht="72.95" customHeight="1">
      <c r="A31" s="222"/>
      <c r="B31" s="223"/>
      <c r="C31" s="223"/>
      <c r="D31" s="223"/>
      <c r="E31" s="223"/>
      <c r="F31" s="223"/>
      <c r="G31" s="223"/>
      <c r="H31" s="224"/>
    </row>
    <row r="32" spans="1:8" ht="12" customHeight="1">
      <c r="A32" s="74"/>
      <c r="B32" s="74"/>
      <c r="C32" s="29"/>
      <c r="D32" s="29"/>
      <c r="E32" s="29"/>
    </row>
    <row r="33" spans="1:8" ht="15" customHeight="1">
      <c r="C33" s="88" t="s">
        <v>34</v>
      </c>
      <c r="D33" s="88"/>
      <c r="E33" s="88"/>
    </row>
    <row r="34" spans="1:8" ht="15" customHeight="1">
      <c r="B34" s="13"/>
      <c r="C34" s="206" t="s">
        <v>35</v>
      </c>
      <c r="D34" s="207"/>
      <c r="E34" s="4" t="s">
        <v>36</v>
      </c>
      <c r="F34" s="19" t="s">
        <v>37</v>
      </c>
    </row>
    <row r="35" spans="1:8" ht="15" customHeight="1"/>
    <row r="36" spans="1:8" ht="15" customHeight="1">
      <c r="A36" s="89" t="s">
        <v>38</v>
      </c>
      <c r="C36" s="208" t="s">
        <v>39</v>
      </c>
      <c r="D36" s="209"/>
      <c r="F36" s="35" t="s">
        <v>40</v>
      </c>
    </row>
    <row r="37" spans="1:8" ht="15" customHeight="1"/>
    <row r="38" spans="1:8" ht="15" customHeight="1">
      <c r="A38" s="89" t="s">
        <v>41</v>
      </c>
      <c r="C38" s="208" t="s">
        <v>39</v>
      </c>
      <c r="D38" s="209"/>
      <c r="F38" s="35" t="s">
        <v>42</v>
      </c>
    </row>
    <row r="39" spans="1:8" ht="15" customHeight="1"/>
    <row r="40" spans="1:8" ht="15" customHeight="1">
      <c r="A40" s="89" t="s">
        <v>43</v>
      </c>
      <c r="C40" s="208" t="s">
        <v>39</v>
      </c>
      <c r="D40" s="209"/>
      <c r="F40" s="35" t="s">
        <v>44</v>
      </c>
      <c r="G40" s="18"/>
    </row>
    <row r="41" spans="1:8" ht="15.75" customHeight="1" thickBot="1">
      <c r="F41" s="87"/>
      <c r="G41" s="18"/>
    </row>
    <row r="42" spans="1:8" ht="15.6" customHeight="1" thickBot="1">
      <c r="A42" s="89" t="s">
        <v>45</v>
      </c>
      <c r="C42" s="212" t="s">
        <v>46</v>
      </c>
      <c r="D42" s="213"/>
      <c r="E42" s="213"/>
      <c r="F42" s="214"/>
      <c r="G42" s="18"/>
    </row>
    <row r="43" spans="1:8" ht="15" customHeight="1" thickBot="1">
      <c r="F43" s="87"/>
      <c r="G43" s="18"/>
    </row>
    <row r="44" spans="1:8" ht="15" customHeight="1" thickBot="1">
      <c r="A44" s="89" t="s">
        <v>47</v>
      </c>
      <c r="C44" s="219"/>
      <c r="D44" s="220"/>
      <c r="E44" s="220"/>
      <c r="F44" s="221"/>
      <c r="G44" s="18"/>
    </row>
    <row r="45" spans="1:8" ht="15" customHeight="1" thickBot="1">
      <c r="F45" s="87"/>
      <c r="G45" s="87"/>
      <c r="H45" s="87"/>
    </row>
    <row r="46" spans="1:8" ht="15" customHeight="1" thickBot="1">
      <c r="A46" s="89" t="s">
        <v>48</v>
      </c>
      <c r="C46" s="212" t="s">
        <v>49</v>
      </c>
      <c r="D46" s="213"/>
      <c r="E46" s="213"/>
      <c r="F46" s="214"/>
      <c r="G46" s="87"/>
      <c r="H46" s="87"/>
    </row>
    <row r="47" spans="1:8" ht="15" customHeight="1" thickBot="1">
      <c r="F47" s="87"/>
      <c r="G47" s="87"/>
      <c r="H47" s="87"/>
    </row>
    <row r="48" spans="1:8" ht="15" customHeight="1" thickBot="1">
      <c r="A48" s="89" t="s">
        <v>50</v>
      </c>
      <c r="C48" s="212" t="s">
        <v>51</v>
      </c>
      <c r="D48" s="213"/>
      <c r="E48" s="213"/>
      <c r="F48" s="214"/>
      <c r="G48" s="87"/>
      <c r="H48" s="87"/>
    </row>
    <row r="49" spans="1:8" ht="15" customHeight="1">
      <c r="F49" s="87"/>
      <c r="G49" s="87"/>
      <c r="H49" s="87"/>
    </row>
    <row r="50" spans="1:8" ht="15" customHeight="1">
      <c r="A50" s="8" t="s">
        <v>52</v>
      </c>
      <c r="B50" s="17"/>
      <c r="C50" s="16"/>
      <c r="D50" s="16"/>
      <c r="E50" s="17"/>
    </row>
    <row r="51" spans="1:8" ht="15" customHeight="1">
      <c r="A51" s="87" t="s">
        <v>53</v>
      </c>
      <c r="B51" s="87"/>
      <c r="C51" s="87"/>
      <c r="D51" s="87"/>
      <c r="E51" s="87"/>
    </row>
    <row r="52" spans="1:8" ht="15" customHeight="1"/>
    <row r="53" spans="1:8" ht="15" customHeight="1">
      <c r="A53" s="94" t="s">
        <v>54</v>
      </c>
      <c r="B53" s="96"/>
      <c r="C53" s="96"/>
      <c r="D53" s="96"/>
      <c r="E53" s="96"/>
      <c r="F53" s="96"/>
      <c r="G53" s="96"/>
      <c r="H53" s="95"/>
    </row>
    <row r="54" spans="1:8" ht="15" customHeight="1">
      <c r="A54" s="97" t="s">
        <v>55</v>
      </c>
      <c r="C54" s="98"/>
      <c r="D54" s="156" t="s">
        <v>56</v>
      </c>
      <c r="E54" s="157"/>
      <c r="F54" s="91" t="s">
        <v>57</v>
      </c>
      <c r="G54" s="92"/>
      <c r="H54" s="93"/>
    </row>
    <row r="55" spans="1:8" ht="15" customHeight="1">
      <c r="A55" s="22" t="s">
        <v>58</v>
      </c>
      <c r="B55" s="29"/>
      <c r="C55" s="29"/>
      <c r="D55" s="195" t="s">
        <v>59</v>
      </c>
      <c r="E55" s="196"/>
      <c r="F55" s="81" t="s">
        <v>60</v>
      </c>
      <c r="G55" s="82"/>
      <c r="H55" s="83"/>
    </row>
    <row r="56" spans="1:8" ht="15" customHeight="1">
      <c r="A56" s="210" t="s">
        <v>61</v>
      </c>
      <c r="B56" s="211"/>
      <c r="C56" s="211"/>
      <c r="D56" s="160" t="s">
        <v>62</v>
      </c>
      <c r="E56" s="161"/>
      <c r="F56" s="84"/>
      <c r="G56" s="85"/>
      <c r="H56" s="86"/>
    </row>
    <row r="57" spans="1:8" ht="15" customHeight="1">
      <c r="A57" s="210" t="s">
        <v>63</v>
      </c>
      <c r="B57" s="211"/>
      <c r="C57" s="211"/>
      <c r="D57" s="160" t="s">
        <v>64</v>
      </c>
      <c r="E57" s="161"/>
      <c r="F57" s="112" t="s">
        <v>65</v>
      </c>
      <c r="G57" s="85"/>
      <c r="H57" s="86"/>
    </row>
    <row r="58" spans="1:8" ht="15" customHeight="1"/>
    <row r="59" spans="1:8" ht="18">
      <c r="A59" s="103" t="s">
        <v>66</v>
      </c>
      <c r="B59" s="104"/>
      <c r="C59" s="104"/>
      <c r="D59" s="104"/>
      <c r="E59" s="104"/>
      <c r="F59" s="104"/>
      <c r="G59" s="104"/>
      <c r="H59" s="105"/>
    </row>
    <row r="60" spans="1:8" ht="18">
      <c r="A60" s="181" t="s">
        <v>67</v>
      </c>
      <c r="B60" s="182"/>
      <c r="C60" s="182"/>
      <c r="D60" s="183"/>
      <c r="E60" s="225" t="s">
        <v>68</v>
      </c>
      <c r="F60" s="226"/>
      <c r="G60" s="226"/>
      <c r="H60" s="227"/>
    </row>
    <row r="61" spans="1:8" ht="15" customHeight="1">
      <c r="A61" s="22" t="s">
        <v>69</v>
      </c>
      <c r="B61" s="23"/>
      <c r="C61" s="195" t="s">
        <v>70</v>
      </c>
      <c r="D61" s="203"/>
      <c r="E61" s="184" t="s">
        <v>71</v>
      </c>
      <c r="F61" s="184"/>
      <c r="G61" s="184"/>
      <c r="H61" s="185"/>
    </row>
    <row r="62" spans="1:8">
      <c r="A62" s="11" t="s">
        <v>72</v>
      </c>
      <c r="B62" s="9"/>
      <c r="C62" s="156" t="s">
        <v>73</v>
      </c>
      <c r="D62" s="157"/>
      <c r="E62" s="186"/>
      <c r="F62" s="187"/>
      <c r="G62" s="187"/>
      <c r="H62" s="188"/>
    </row>
    <row r="63" spans="1:8">
      <c r="A63" s="28" t="s">
        <v>74</v>
      </c>
      <c r="B63" s="9"/>
      <c r="C63" s="199"/>
      <c r="D63" s="200"/>
      <c r="E63" s="186"/>
      <c r="F63" s="187"/>
      <c r="G63" s="187"/>
      <c r="H63" s="188"/>
    </row>
    <row r="64" spans="1:8">
      <c r="A64" s="28" t="s">
        <v>75</v>
      </c>
      <c r="B64" s="9"/>
      <c r="C64" s="199"/>
      <c r="D64" s="200"/>
      <c r="E64" s="186"/>
      <c r="F64" s="187"/>
      <c r="G64" s="187"/>
      <c r="H64" s="188"/>
    </row>
    <row r="65" spans="1:8" ht="51" customHeight="1">
      <c r="A65" s="192" t="s">
        <v>76</v>
      </c>
      <c r="B65" s="193"/>
      <c r="C65" s="193"/>
      <c r="D65" s="194"/>
      <c r="E65" s="186"/>
      <c r="F65" s="187"/>
      <c r="G65" s="187"/>
      <c r="H65" s="188"/>
    </row>
    <row r="66" spans="1:8" ht="15" customHeight="1">
      <c r="A66" s="22" t="s">
        <v>77</v>
      </c>
      <c r="B66" s="23"/>
      <c r="C66" s="195"/>
      <c r="D66" s="196"/>
      <c r="E66" s="186"/>
      <c r="F66" s="187"/>
      <c r="G66" s="187"/>
      <c r="H66" s="188"/>
    </row>
    <row r="67" spans="1:8">
      <c r="A67" s="11" t="s">
        <v>78</v>
      </c>
      <c r="B67" s="9"/>
      <c r="C67" s="156"/>
      <c r="D67" s="157"/>
      <c r="E67" s="186"/>
      <c r="F67" s="187"/>
      <c r="G67" s="187"/>
      <c r="H67" s="188"/>
    </row>
    <row r="68" spans="1:8">
      <c r="A68" s="28" t="s">
        <v>74</v>
      </c>
      <c r="B68" s="9"/>
      <c r="C68" s="101"/>
      <c r="D68" s="102"/>
      <c r="E68" s="186"/>
      <c r="F68" s="187"/>
      <c r="G68" s="187"/>
      <c r="H68" s="188"/>
    </row>
    <row r="69" spans="1:8">
      <c r="A69" s="99" t="s">
        <v>79</v>
      </c>
      <c r="B69" s="14"/>
      <c r="C69" s="197"/>
      <c r="D69" s="198"/>
      <c r="E69" s="189"/>
      <c r="F69" s="190"/>
      <c r="G69" s="190"/>
      <c r="H69" s="191"/>
    </row>
    <row r="70" spans="1:8" ht="18" customHeight="1"/>
    <row r="71" spans="1:8" ht="18">
      <c r="A71" s="103" t="s">
        <v>80</v>
      </c>
      <c r="B71" s="104"/>
      <c r="C71" s="104"/>
      <c r="D71" s="104"/>
      <c r="E71" s="79"/>
      <c r="F71" s="79"/>
      <c r="G71" s="79"/>
      <c r="H71" s="80"/>
    </row>
    <row r="72" spans="1:8">
      <c r="A72" s="139" t="s">
        <v>81</v>
      </c>
      <c r="B72" s="23"/>
      <c r="C72" s="228" t="s">
        <v>59</v>
      </c>
      <c r="D72" s="229"/>
      <c r="E72" s="137" t="s">
        <v>82</v>
      </c>
      <c r="F72" s="14"/>
      <c r="G72" s="230" t="s">
        <v>59</v>
      </c>
      <c r="H72" s="231"/>
    </row>
    <row r="73" spans="1:8">
      <c r="A73" s="11" t="s">
        <v>83</v>
      </c>
      <c r="B73" s="9"/>
      <c r="C73" s="156" t="s">
        <v>84</v>
      </c>
      <c r="D73" s="157"/>
      <c r="E73" s="23" t="s">
        <v>85</v>
      </c>
      <c r="F73" s="23"/>
      <c r="G73" s="100" t="s">
        <v>86</v>
      </c>
      <c r="H73" s="108"/>
    </row>
    <row r="74" spans="1:8">
      <c r="A74" s="11" t="s">
        <v>87</v>
      </c>
      <c r="B74" s="9"/>
      <c r="C74" s="156" t="s">
        <v>88</v>
      </c>
      <c r="D74" s="157"/>
      <c r="E74" s="138"/>
      <c r="F74" s="25" t="s">
        <v>89</v>
      </c>
      <c r="G74" s="26" t="s">
        <v>90</v>
      </c>
      <c r="H74" s="27" t="s">
        <v>91</v>
      </c>
    </row>
    <row r="75" spans="1:8">
      <c r="A75" s="12" t="s">
        <v>92</v>
      </c>
      <c r="B75" s="15"/>
      <c r="C75" s="160" t="s">
        <v>88</v>
      </c>
      <c r="D75" s="161"/>
      <c r="F75" s="20" t="s">
        <v>93</v>
      </c>
      <c r="G75" s="21">
        <v>0.4</v>
      </c>
      <c r="H75" s="24"/>
    </row>
    <row r="76" spans="1:8">
      <c r="A76" s="128" t="s">
        <v>94</v>
      </c>
      <c r="B76" s="129"/>
      <c r="C76" s="201" t="s">
        <v>59</v>
      </c>
      <c r="D76" s="202"/>
      <c r="F76" s="20" t="s">
        <v>95</v>
      </c>
      <c r="G76" s="21">
        <v>0.4</v>
      </c>
      <c r="H76" s="24"/>
    </row>
    <row r="77" spans="1:8">
      <c r="A77" s="118" t="s">
        <v>96</v>
      </c>
      <c r="C77" s="119"/>
      <c r="D77" s="130"/>
      <c r="F77" s="20" t="s">
        <v>97</v>
      </c>
      <c r="G77" s="21">
        <v>0.2</v>
      </c>
      <c r="H77" s="24"/>
    </row>
    <row r="78" spans="1:8">
      <c r="A78" s="118" t="s">
        <v>98</v>
      </c>
      <c r="C78" s="119"/>
      <c r="D78" s="130"/>
      <c r="E78" s="144" t="s">
        <v>99</v>
      </c>
      <c r="F78" s="109"/>
      <c r="G78" s="154"/>
      <c r="H78" s="155"/>
    </row>
    <row r="79" spans="1:8">
      <c r="A79" s="118" t="s">
        <v>100</v>
      </c>
      <c r="C79" s="119"/>
      <c r="D79" s="130"/>
      <c r="G79" s="143"/>
      <c r="H79" s="120"/>
    </row>
    <row r="80" spans="1:8">
      <c r="A80" s="118" t="s">
        <v>101</v>
      </c>
      <c r="C80" s="119"/>
      <c r="D80" s="130"/>
      <c r="G80" s="143"/>
    </row>
    <row r="81" spans="1:8">
      <c r="A81" s="20" t="s">
        <v>102</v>
      </c>
      <c r="C81" s="119"/>
      <c r="D81" s="130"/>
      <c r="G81" s="143"/>
    </row>
    <row r="82" spans="1:8">
      <c r="A82" s="20" t="s">
        <v>103</v>
      </c>
      <c r="C82" s="119"/>
      <c r="D82" s="130"/>
      <c r="G82" s="143"/>
    </row>
    <row r="83" spans="1:8">
      <c r="A83" s="131" t="s">
        <v>104</v>
      </c>
      <c r="B83" s="15"/>
      <c r="C83" s="125"/>
      <c r="D83" s="132"/>
      <c r="H83" s="120"/>
    </row>
    <row r="84" spans="1:8">
      <c r="A84" s="133" t="s">
        <v>105</v>
      </c>
      <c r="B84" s="129"/>
      <c r="C84" s="129"/>
      <c r="D84" s="134"/>
      <c r="E84" s="143"/>
      <c r="H84" s="120"/>
    </row>
    <row r="85" spans="1:8">
      <c r="A85" s="146" t="s">
        <v>106</v>
      </c>
      <c r="B85" s="113"/>
      <c r="C85" s="204" t="s">
        <v>59</v>
      </c>
      <c r="D85" s="205"/>
      <c r="E85" s="143"/>
      <c r="H85" s="120"/>
    </row>
    <row r="86" spans="1:8">
      <c r="A86" s="146" t="s">
        <v>107</v>
      </c>
      <c r="B86" s="113"/>
      <c r="C86" s="204" t="s">
        <v>59</v>
      </c>
      <c r="D86" s="205"/>
      <c r="E86" s="143"/>
      <c r="H86" s="120"/>
    </row>
    <row r="87" spans="1:8" ht="15.75">
      <c r="A87" s="121" t="s">
        <v>108</v>
      </c>
      <c r="B87" s="113"/>
      <c r="C87" s="204"/>
      <c r="D87" s="205"/>
      <c r="E87" s="143"/>
      <c r="H87" s="120"/>
    </row>
    <row r="88" spans="1:8" ht="15.75">
      <c r="A88" s="148" t="s">
        <v>109</v>
      </c>
      <c r="B88" s="114"/>
      <c r="C88" s="150"/>
      <c r="D88" s="151"/>
      <c r="E88" s="116"/>
      <c r="H88" s="120"/>
    </row>
    <row r="89" spans="1:8" ht="15.75">
      <c r="A89" s="149" t="s">
        <v>110</v>
      </c>
      <c r="B89" s="114"/>
      <c r="C89" s="119"/>
      <c r="D89" s="135"/>
      <c r="E89" s="116"/>
      <c r="H89" s="120"/>
    </row>
    <row r="90" spans="1:8" ht="15.75">
      <c r="A90" s="149" t="s">
        <v>111</v>
      </c>
      <c r="B90" s="114"/>
      <c r="C90" s="119"/>
      <c r="D90" s="135"/>
      <c r="E90" s="116"/>
      <c r="H90" s="120"/>
    </row>
    <row r="91" spans="1:8" ht="15.75">
      <c r="A91" s="149" t="s">
        <v>112</v>
      </c>
      <c r="B91" s="114"/>
      <c r="C91" s="119"/>
      <c r="D91" s="135"/>
      <c r="E91" s="116"/>
      <c r="H91" s="120"/>
    </row>
    <row r="92" spans="1:8" ht="15.75">
      <c r="A92" s="149" t="s">
        <v>113</v>
      </c>
      <c r="B92" s="114"/>
      <c r="C92" s="119"/>
      <c r="D92" s="135"/>
      <c r="E92" s="116"/>
      <c r="H92" s="120"/>
    </row>
    <row r="93" spans="1:8" ht="19.5">
      <c r="A93" s="149" t="s">
        <v>114</v>
      </c>
      <c r="B93" s="114"/>
      <c r="C93" s="119"/>
      <c r="D93" s="135"/>
      <c r="E93" s="116"/>
      <c r="F93" s="147"/>
      <c r="H93" s="120"/>
    </row>
    <row r="94" spans="1:8" ht="15.75">
      <c r="A94" s="149" t="s">
        <v>115</v>
      </c>
      <c r="B94" s="114"/>
      <c r="C94" s="119"/>
      <c r="D94" s="135"/>
      <c r="E94" s="116"/>
      <c r="H94" s="120"/>
    </row>
    <row r="95" spans="1:8" ht="15.75">
      <c r="A95" s="149" t="s">
        <v>116</v>
      </c>
      <c r="B95" s="114"/>
      <c r="C95" s="119"/>
      <c r="D95" s="135"/>
      <c r="E95" s="116"/>
      <c r="H95" s="120"/>
    </row>
    <row r="96" spans="1:8" ht="15.75">
      <c r="A96" s="149" t="s">
        <v>117</v>
      </c>
      <c r="B96" s="114"/>
      <c r="C96" s="119"/>
      <c r="D96" s="135"/>
      <c r="E96" s="116"/>
      <c r="H96" s="120"/>
    </row>
    <row r="97" spans="1:8" ht="15.75">
      <c r="A97" s="149" t="s">
        <v>118</v>
      </c>
      <c r="B97" s="114"/>
      <c r="C97" s="119"/>
      <c r="D97" s="135"/>
      <c r="E97" s="116"/>
      <c r="F97" s="116"/>
      <c r="H97" s="120"/>
    </row>
    <row r="98" spans="1:8" ht="15.75">
      <c r="A98" s="149" t="s">
        <v>119</v>
      </c>
      <c r="B98" s="114"/>
      <c r="C98" s="119"/>
      <c r="D98" s="135"/>
      <c r="E98" s="116"/>
      <c r="F98" s="116"/>
      <c r="H98" s="120"/>
    </row>
    <row r="99" spans="1:8" ht="15.75">
      <c r="A99" s="148" t="s">
        <v>120</v>
      </c>
      <c r="B99" s="114"/>
      <c r="C99" s="150"/>
      <c r="D99" s="151"/>
      <c r="E99" s="116"/>
      <c r="H99" s="120"/>
    </row>
    <row r="100" spans="1:8" ht="15.75">
      <c r="A100" s="149" t="s">
        <v>121</v>
      </c>
      <c r="B100" s="114"/>
      <c r="C100" s="119"/>
      <c r="D100" s="135"/>
      <c r="E100" s="116"/>
      <c r="H100" s="120"/>
    </row>
    <row r="101" spans="1:8" ht="15.75">
      <c r="A101" s="149" t="s">
        <v>122</v>
      </c>
      <c r="B101" s="114"/>
      <c r="C101" s="119"/>
      <c r="D101" s="135"/>
      <c r="E101" s="116"/>
      <c r="H101" s="120"/>
    </row>
    <row r="102" spans="1:8" ht="15.75">
      <c r="A102" s="149" t="s">
        <v>123</v>
      </c>
      <c r="B102" s="114"/>
      <c r="C102" s="119"/>
      <c r="D102" s="135"/>
      <c r="E102" s="116"/>
      <c r="H102" s="120"/>
    </row>
    <row r="103" spans="1:8" ht="15.75">
      <c r="A103" s="149" t="s">
        <v>124</v>
      </c>
      <c r="B103" s="114"/>
      <c r="C103" s="119"/>
      <c r="D103" s="135"/>
      <c r="E103" s="116"/>
      <c r="H103" s="120"/>
    </row>
    <row r="104" spans="1:8" ht="15.75">
      <c r="A104" s="149" t="s">
        <v>125</v>
      </c>
      <c r="B104" s="114"/>
      <c r="C104" s="119"/>
      <c r="D104" s="135"/>
      <c r="E104" s="116"/>
      <c r="F104"/>
      <c r="H104" s="120"/>
    </row>
    <row r="105" spans="1:8" ht="15.75">
      <c r="A105" s="149" t="s">
        <v>126</v>
      </c>
      <c r="B105" s="114"/>
      <c r="C105" s="119"/>
      <c r="D105" s="135"/>
      <c r="E105" s="116"/>
      <c r="F105"/>
      <c r="H105" s="120"/>
    </row>
    <row r="106" spans="1:8" ht="15.75">
      <c r="A106" s="153" t="s">
        <v>127</v>
      </c>
      <c r="B106" s="114"/>
      <c r="C106" s="150"/>
      <c r="D106" s="151"/>
      <c r="E106" s="116"/>
      <c r="F106"/>
      <c r="H106" s="120"/>
    </row>
    <row r="107" spans="1:8" ht="15.75">
      <c r="A107" s="149" t="s">
        <v>128</v>
      </c>
      <c r="B107" s="114"/>
      <c r="C107" s="119"/>
      <c r="D107" s="135"/>
      <c r="E107" s="116"/>
      <c r="F107"/>
      <c r="H107" s="120"/>
    </row>
    <row r="108" spans="1:8" ht="15.75">
      <c r="A108" s="149" t="s">
        <v>129</v>
      </c>
      <c r="B108" s="114"/>
      <c r="C108" s="119"/>
      <c r="D108" s="135"/>
      <c r="E108" s="116"/>
      <c r="F108"/>
      <c r="H108" s="120"/>
    </row>
    <row r="109" spans="1:8" ht="15.75">
      <c r="A109" s="148" t="s">
        <v>130</v>
      </c>
      <c r="B109" s="114"/>
      <c r="C109" s="150"/>
      <c r="D109" s="151"/>
      <c r="E109" s="116"/>
      <c r="H109" s="120"/>
    </row>
    <row r="110" spans="1:8" ht="15.75">
      <c r="A110" s="149" t="s">
        <v>131</v>
      </c>
      <c r="B110" s="114"/>
      <c r="C110" s="119"/>
      <c r="D110" s="135"/>
      <c r="E110" s="116"/>
      <c r="H110" s="120"/>
    </row>
    <row r="111" spans="1:8" ht="15.75">
      <c r="A111" s="149" t="s">
        <v>132</v>
      </c>
      <c r="B111" s="114"/>
      <c r="C111" s="119"/>
      <c r="D111" s="135"/>
      <c r="E111" s="116"/>
      <c r="H111" s="120"/>
    </row>
    <row r="112" spans="1:8" ht="15.75">
      <c r="A112" s="148" t="s">
        <v>133</v>
      </c>
      <c r="B112" s="114"/>
      <c r="C112" s="150"/>
      <c r="D112" s="151"/>
      <c r="E112" s="116"/>
      <c r="H112" s="120"/>
    </row>
    <row r="113" spans="1:8" ht="15">
      <c r="A113" s="149" t="s">
        <v>134</v>
      </c>
      <c r="B113" s="115"/>
      <c r="C113" s="119"/>
      <c r="D113" s="135"/>
      <c r="E113" s="116"/>
      <c r="H113" s="120"/>
    </row>
    <row r="114" spans="1:8" ht="15">
      <c r="A114" s="148" t="s">
        <v>135</v>
      </c>
      <c r="B114" s="115"/>
      <c r="C114" s="150"/>
      <c r="D114" s="151"/>
      <c r="E114" s="116"/>
      <c r="H114" s="120"/>
    </row>
    <row r="115" spans="1:8" ht="15">
      <c r="A115" s="149" t="s">
        <v>136</v>
      </c>
      <c r="B115" s="115"/>
      <c r="C115" s="119"/>
      <c r="D115" s="135"/>
      <c r="E115" s="116"/>
      <c r="H115" s="120"/>
    </row>
    <row r="116" spans="1:8" ht="15">
      <c r="A116" s="152" t="s">
        <v>137</v>
      </c>
      <c r="B116" s="115"/>
      <c r="C116" s="119"/>
      <c r="D116" s="135"/>
      <c r="E116" s="116"/>
      <c r="H116" s="120"/>
    </row>
    <row r="117" spans="1:8" ht="15">
      <c r="A117" s="121" t="s">
        <v>102</v>
      </c>
      <c r="B117" s="115"/>
      <c r="C117" s="119"/>
      <c r="D117" s="135"/>
      <c r="E117" s="117"/>
      <c r="H117" s="120"/>
    </row>
    <row r="118" spans="1:8">
      <c r="A118" s="122" t="s">
        <v>138</v>
      </c>
      <c r="B118" s="115"/>
      <c r="C118" s="119"/>
      <c r="D118" s="135"/>
      <c r="E118" s="117"/>
      <c r="F118" s="117"/>
      <c r="H118" s="120"/>
    </row>
    <row r="119" spans="1:8" ht="15">
      <c r="A119" s="122" t="s">
        <v>139</v>
      </c>
      <c r="B119" s="115"/>
      <c r="C119" s="119"/>
      <c r="D119" s="135"/>
      <c r="E119" s="117"/>
      <c r="H119" s="120"/>
    </row>
    <row r="120" spans="1:8" ht="15">
      <c r="A120" s="122" t="s">
        <v>130</v>
      </c>
      <c r="B120" s="115"/>
      <c r="C120" s="119"/>
      <c r="D120" s="135"/>
      <c r="E120" s="117"/>
      <c r="H120" s="120"/>
    </row>
    <row r="121" spans="1:8" ht="15">
      <c r="A121" s="123" t="s">
        <v>140</v>
      </c>
      <c r="B121" s="115"/>
      <c r="C121" s="119"/>
      <c r="D121" s="135"/>
      <c r="E121" s="117"/>
      <c r="H121" s="120"/>
    </row>
    <row r="122" spans="1:8">
      <c r="A122" s="121" t="s">
        <v>103</v>
      </c>
      <c r="B122" s="115"/>
      <c r="C122" s="119"/>
      <c r="D122" s="135"/>
      <c r="E122" s="117"/>
      <c r="F122" s="117"/>
      <c r="H122" s="120"/>
    </row>
    <row r="123" spans="1:8" ht="15">
      <c r="A123" s="122" t="s">
        <v>103</v>
      </c>
      <c r="B123" s="115"/>
      <c r="C123" s="119"/>
      <c r="D123" s="135"/>
      <c r="E123" s="117"/>
      <c r="H123" s="120"/>
    </row>
    <row r="124" spans="1:8" ht="15">
      <c r="A124" s="122" t="s">
        <v>141</v>
      </c>
      <c r="B124" s="115"/>
      <c r="C124" s="119"/>
      <c r="D124" s="135"/>
      <c r="E124" s="117"/>
      <c r="H124" s="120"/>
    </row>
    <row r="125" spans="1:8" ht="15.75">
      <c r="A125" s="121" t="s">
        <v>104</v>
      </c>
      <c r="B125" s="115"/>
      <c r="C125" s="119"/>
      <c r="D125" s="135"/>
      <c r="E125" s="117"/>
      <c r="F125" t="s">
        <v>142</v>
      </c>
      <c r="H125" s="120"/>
    </row>
    <row r="126" spans="1:8">
      <c r="A126" s="145" t="s">
        <v>143</v>
      </c>
      <c r="B126" s="115"/>
      <c r="C126" s="119"/>
      <c r="D126" s="135"/>
      <c r="E126" s="117"/>
      <c r="F126" s="117"/>
      <c r="H126" s="120"/>
    </row>
    <row r="127" spans="1:8">
      <c r="A127" s="123" t="s">
        <v>144</v>
      </c>
      <c r="B127" s="124"/>
      <c r="C127" s="125"/>
      <c r="D127" s="136"/>
      <c r="E127" s="126"/>
      <c r="F127" s="126"/>
      <c r="G127" s="15"/>
      <c r="H127" s="127"/>
    </row>
    <row r="130" spans="1:8" ht="20.100000000000001">
      <c r="A130" s="178" t="s">
        <v>145</v>
      </c>
      <c r="B130" s="179"/>
      <c r="C130" s="179"/>
      <c r="D130" s="179"/>
      <c r="E130" s="179"/>
      <c r="F130" s="179"/>
      <c r="G130" s="179"/>
      <c r="H130" s="180"/>
    </row>
    <row r="131" spans="1:8">
      <c r="A131" s="32" t="s">
        <v>146</v>
      </c>
      <c r="D131" s="33" t="s">
        <v>147</v>
      </c>
      <c r="F131" s="1" t="s">
        <v>148</v>
      </c>
      <c r="H131" s="5"/>
    </row>
    <row r="132" spans="1:8">
      <c r="A132" s="32" t="s">
        <v>149</v>
      </c>
      <c r="D132" s="33" t="s">
        <v>147</v>
      </c>
      <c r="F132" s="1" t="s">
        <v>150</v>
      </c>
      <c r="H132" s="5"/>
    </row>
    <row r="133" spans="1:8">
      <c r="A133" s="32" t="s">
        <v>151</v>
      </c>
      <c r="D133" s="33" t="s">
        <v>147</v>
      </c>
      <c r="F133" s="1" t="s">
        <v>152</v>
      </c>
      <c r="H133" s="5"/>
    </row>
    <row r="134" spans="1:8" ht="15.95" thickBot="1">
      <c r="A134" s="34" t="s">
        <v>153</v>
      </c>
      <c r="B134" s="6"/>
      <c r="C134" s="6"/>
      <c r="D134" s="90" t="s">
        <v>147</v>
      </c>
      <c r="E134" s="6"/>
      <c r="F134" s="6" t="s">
        <v>154</v>
      </c>
      <c r="G134" s="6"/>
      <c r="H134" s="7"/>
    </row>
    <row r="136" spans="1:8" ht="18">
      <c r="A136" s="175" t="s">
        <v>155</v>
      </c>
      <c r="B136" s="176"/>
      <c r="C136" s="176"/>
      <c r="D136" s="176"/>
      <c r="E136" s="176"/>
      <c r="F136" s="176"/>
      <c r="G136" s="176"/>
      <c r="H136" s="177"/>
    </row>
    <row r="137" spans="1:8">
      <c r="A137" s="30" t="s">
        <v>156</v>
      </c>
      <c r="B137" s="29"/>
      <c r="C137" s="29"/>
      <c r="D137" s="29"/>
      <c r="E137" s="29"/>
      <c r="F137" s="29"/>
      <c r="G137" s="29"/>
      <c r="H137" s="31"/>
    </row>
    <row r="138" spans="1:8">
      <c r="A138" s="76" t="s">
        <v>157</v>
      </c>
      <c r="B138" s="77"/>
      <c r="C138" s="77"/>
      <c r="D138" s="77"/>
      <c r="E138" s="77"/>
      <c r="F138" s="77"/>
      <c r="G138" s="77"/>
      <c r="H138" s="78"/>
    </row>
    <row r="157" ht="59.1" customHeight="1"/>
    <row r="158" ht="15"/>
  </sheetData>
  <mergeCells count="67">
    <mergeCell ref="C85:D85"/>
    <mergeCell ref="C86:D86"/>
    <mergeCell ref="G25:H25"/>
    <mergeCell ref="G23:H23"/>
    <mergeCell ref="G24:H24"/>
    <mergeCell ref="A57:C57"/>
    <mergeCell ref="D57:E57"/>
    <mergeCell ref="C46:F46"/>
    <mergeCell ref="C44:F44"/>
    <mergeCell ref="A28:H28"/>
    <mergeCell ref="E60:H60"/>
    <mergeCell ref="C72:D72"/>
    <mergeCell ref="G72:H72"/>
    <mergeCell ref="A30:H30"/>
    <mergeCell ref="A31:H31"/>
    <mergeCell ref="C38:D38"/>
    <mergeCell ref="C34:D34"/>
    <mergeCell ref="C40:D40"/>
    <mergeCell ref="C62:D62"/>
    <mergeCell ref="A56:C56"/>
    <mergeCell ref="D56:E56"/>
    <mergeCell ref="D55:E55"/>
    <mergeCell ref="C42:F42"/>
    <mergeCell ref="D54:E54"/>
    <mergeCell ref="C36:D36"/>
    <mergeCell ref="C48:F48"/>
    <mergeCell ref="A136:H136"/>
    <mergeCell ref="A130:H130"/>
    <mergeCell ref="C75:D75"/>
    <mergeCell ref="A60:D60"/>
    <mergeCell ref="E61:H69"/>
    <mergeCell ref="A65:D65"/>
    <mergeCell ref="C66:D66"/>
    <mergeCell ref="C67:D67"/>
    <mergeCell ref="C69:D69"/>
    <mergeCell ref="C64:D64"/>
    <mergeCell ref="C76:D76"/>
    <mergeCell ref="C61:D61"/>
    <mergeCell ref="C74:D74"/>
    <mergeCell ref="C63:D63"/>
    <mergeCell ref="C87:D87"/>
    <mergeCell ref="C73:D73"/>
    <mergeCell ref="C10:D10"/>
    <mergeCell ref="G10:H10"/>
    <mergeCell ref="G11:H11"/>
    <mergeCell ref="A4:H4"/>
    <mergeCell ref="A6:H6"/>
    <mergeCell ref="A7:H7"/>
    <mergeCell ref="A5:H5"/>
    <mergeCell ref="A9:D9"/>
    <mergeCell ref="F9:H9"/>
    <mergeCell ref="G78:H78"/>
    <mergeCell ref="C11:D11"/>
    <mergeCell ref="C12:D12"/>
    <mergeCell ref="C13:D13"/>
    <mergeCell ref="G13:H13"/>
    <mergeCell ref="C14:D14"/>
    <mergeCell ref="C15:D15"/>
    <mergeCell ref="C16:D16"/>
    <mergeCell ref="A27:H27"/>
    <mergeCell ref="G14:H14"/>
    <mergeCell ref="F19:H19"/>
    <mergeCell ref="G20:H20"/>
    <mergeCell ref="G21:H21"/>
    <mergeCell ref="G22:H22"/>
    <mergeCell ref="G15:H15"/>
    <mergeCell ref="G17:H17"/>
  </mergeCells>
  <phoneticPr fontId="7" type="noConversion"/>
  <pageMargins left="0.75" right="0.75" top="1" bottom="1" header="0.5" footer="0.5"/>
  <pageSetup scale="70" orientation="portrait" horizontalDpi="4294967292" verticalDpi="4294967292" r:id="rId1"/>
  <rowBreaks count="1" manualBreakCount="1">
    <brk id="69" max="16383" man="1"/>
  </rowBreaks>
  <colBreaks count="1" manualBreakCount="1">
    <brk id="8" max="1048575" man="1"/>
  </col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promptTitle="Select Here" xr:uid="{00000000-0002-0000-0000-000001000000}">
          <x14:formula1>
            <xm:f>Sheet5!$F$2:$F$3</xm:f>
          </x14:formula1>
          <xm:sqref>C38:D38</xm:sqref>
        </x14:dataValidation>
        <x14:dataValidation type="list" allowBlank="1" showInputMessage="1" showErrorMessage="1" promptTitle="Select Here" xr:uid="{9098D3DA-EE4B-4F67-BF05-7EE1CABCBBF9}">
          <x14:formula1>
            <xm:f>Sheet5!$B$2:$B$9</xm:f>
          </x14:formula1>
          <xm:sqref>C36:D36</xm:sqref>
        </x14:dataValidation>
        <x14:dataValidation type="list" allowBlank="1" showInputMessage="1" showErrorMessage="1" xr:uid="{AC5A9058-3BE2-4DC7-B5D1-8F07F6570417}">
          <x14:formula1>
            <xm:f>Sheet5!$A$2:$A$35</xm:f>
          </x14:formula1>
          <xm:sqref>F36</xm:sqref>
        </x14:dataValidation>
        <x14:dataValidation type="list" allowBlank="1" showInputMessage="1" showErrorMessage="1" xr:uid="{0F94A3D6-6969-4308-B254-D80472D938E5}">
          <x14:formula1>
            <xm:f>Sheet5!$L$2:$L$4</xm:f>
          </x14:formula1>
          <xm:sqref>C48:F48</xm:sqref>
        </x14:dataValidation>
        <x14:dataValidation type="list" allowBlank="1" showInputMessage="1" showErrorMessage="1" xr:uid="{493BF310-1A7B-43F5-9FFD-DE620146A487}">
          <x14:formula1>
            <xm:f>Sheet5!$J$2:$J$35</xm:f>
          </x14:formula1>
          <xm:sqref>C46:F46</xm:sqref>
        </x14:dataValidation>
        <x14:dataValidation type="list" allowBlank="1" showInputMessage="1" showErrorMessage="1" xr:uid="{329261E9-74A0-4534-B25E-F45B9D6E2FFA}">
          <x14:formula1>
            <xm:f>Sheet5!$H$2:$H$22</xm:f>
          </x14:formula1>
          <xm:sqref>C42:F42</xm:sqref>
        </x14:dataValidation>
        <x14:dataValidation type="list" allowBlank="1" showInputMessage="1" showErrorMessage="1" xr:uid="{00000000-0002-0000-0000-000000000000}">
          <x14:formula1>
            <xm:f>Sheet5!$E$2:$E$36</xm:f>
          </x14:formula1>
          <xm:sqref>F40</xm:sqref>
        </x14:dataValidation>
        <x14:dataValidation type="list" allowBlank="1" showInputMessage="1" showErrorMessage="1" promptTitle="Select Here" xr:uid="{00000000-0002-0000-0000-000002000000}">
          <x14:formula1>
            <xm:f>Sheet5!$E$2:$E$36</xm:f>
          </x14:formula1>
          <xm:sqref>C40:D40</xm:sqref>
        </x14:dataValidation>
        <x14:dataValidation type="list" allowBlank="1" showInputMessage="1" showErrorMessage="1" xr:uid="{00000000-0002-0000-0000-000003000000}">
          <x14:formula1>
            <xm:f>Sheet5!$C$2:$C$24</xm:f>
          </x14:formula1>
          <xm:sqref>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40" zoomScaleNormal="40" workbookViewId="0"/>
  </sheetViews>
  <sheetFormatPr defaultColWidth="10.875" defaultRowHeight="17.45"/>
  <cols>
    <col min="1" max="1" width="19" style="47" customWidth="1"/>
    <col min="2" max="2" width="24.375" style="47" customWidth="1"/>
    <col min="3" max="3" width="22.375" style="47" customWidth="1"/>
    <col min="4" max="4" width="26.5" style="47" customWidth="1"/>
    <col min="5" max="5" width="36.125" style="47" customWidth="1"/>
    <col min="6" max="6" width="19.375" style="47" customWidth="1"/>
    <col min="7" max="7" width="15.875" style="47" customWidth="1"/>
    <col min="8" max="8" width="20.125" style="47" customWidth="1"/>
    <col min="9" max="9" width="23.125" style="47" customWidth="1"/>
    <col min="10" max="10" width="19.5" style="47" customWidth="1"/>
    <col min="11" max="11" width="21.375" style="47" customWidth="1"/>
    <col min="12" max="12" width="16.375" style="47" bestFit="1" customWidth="1"/>
    <col min="13" max="13" width="20.125" style="47" customWidth="1"/>
    <col min="14" max="14" width="19.125" style="47" customWidth="1"/>
    <col min="15" max="15" width="15" style="47" bestFit="1" customWidth="1"/>
    <col min="16" max="16" width="17" style="47" customWidth="1"/>
    <col min="17" max="16384" width="10.875" style="47"/>
  </cols>
  <sheetData>
    <row r="1" spans="1:16" ht="23.1">
      <c r="A1" s="47" t="s">
        <v>158</v>
      </c>
      <c r="B1" s="46" t="s">
        <v>159</v>
      </c>
      <c r="C1" s="232">
        <f>'Campaign Brief Template'!C14</f>
        <v>0</v>
      </c>
      <c r="D1" s="232"/>
    </row>
    <row r="2" spans="1:16" ht="23.1">
      <c r="B2" s="46" t="s">
        <v>160</v>
      </c>
      <c r="C2" s="233">
        <f>'Campaign Brief Template'!C15</f>
        <v>0</v>
      </c>
      <c r="D2" s="233"/>
    </row>
    <row r="3" spans="1:16" ht="23.1">
      <c r="B3" s="46" t="s">
        <v>17</v>
      </c>
      <c r="C3" s="232">
        <f>'Campaign Brief Template'!C16</f>
        <v>0</v>
      </c>
      <c r="D3" s="232"/>
    </row>
    <row r="4" spans="1:16" ht="23.1">
      <c r="A4" s="46"/>
    </row>
    <row r="5" spans="1:16">
      <c r="B5" s="234" t="s">
        <v>161</v>
      </c>
      <c r="C5" s="234"/>
      <c r="D5" s="234"/>
      <c r="E5" s="234"/>
      <c r="F5" s="260" t="s">
        <v>162</v>
      </c>
      <c r="G5" s="260"/>
      <c r="H5" s="260"/>
      <c r="I5" s="260"/>
      <c r="J5" s="260"/>
      <c r="K5" s="260"/>
      <c r="L5" s="234" t="s">
        <v>161</v>
      </c>
      <c r="M5" s="234"/>
      <c r="N5" s="234"/>
    </row>
    <row r="6" spans="1:16" ht="36">
      <c r="A6" s="48"/>
      <c r="B6" s="49" t="s">
        <v>163</v>
      </c>
      <c r="C6" s="50" t="s">
        <v>164</v>
      </c>
      <c r="D6" s="50" t="s">
        <v>165</v>
      </c>
      <c r="E6" s="50" t="s">
        <v>166</v>
      </c>
      <c r="F6" s="50" t="s">
        <v>167</v>
      </c>
      <c r="G6" s="51" t="s">
        <v>168</v>
      </c>
      <c r="H6" s="51" t="s">
        <v>169</v>
      </c>
      <c r="I6" s="51" t="s">
        <v>170</v>
      </c>
      <c r="J6" s="52" t="s">
        <v>171</v>
      </c>
      <c r="K6" s="53" t="s">
        <v>172</v>
      </c>
      <c r="L6" s="53" t="s">
        <v>173</v>
      </c>
      <c r="M6" s="50"/>
      <c r="N6" s="54" t="s">
        <v>174</v>
      </c>
    </row>
    <row r="7" spans="1:16" ht="21.95" customHeight="1">
      <c r="A7" s="240" t="s">
        <v>175</v>
      </c>
      <c r="B7" s="237">
        <f>'Campaign Brief Template'!C16</f>
        <v>0</v>
      </c>
      <c r="C7" s="237" t="str">
        <f>'Campaign Brief Template'!F36</f>
        <v>FB - Traffic</v>
      </c>
      <c r="D7" s="237" t="str">
        <f>'Campaign Brief Template'!F34</f>
        <v>Auction</v>
      </c>
      <c r="E7" s="55" t="str">
        <f>'Campaign Brief Template'!C61</f>
        <v>25-50</v>
      </c>
      <c r="F7" s="261" t="s">
        <v>176</v>
      </c>
      <c r="G7" s="239">
        <v>43030914</v>
      </c>
      <c r="H7" s="268" t="e">
        <f>L7/I7</f>
        <v>#DIV/0!</v>
      </c>
      <c r="I7" s="256">
        <v>0</v>
      </c>
      <c r="J7" s="251"/>
      <c r="K7" s="246">
        <v>0</v>
      </c>
      <c r="L7" s="254"/>
      <c r="M7" s="252"/>
      <c r="N7" s="249">
        <f>SUM(L7:M7)</f>
        <v>0</v>
      </c>
    </row>
    <row r="8" spans="1:16" ht="21.95" customHeight="1">
      <c r="A8" s="240"/>
      <c r="B8" s="237"/>
      <c r="C8" s="237"/>
      <c r="D8" s="237"/>
      <c r="E8" s="55" t="str">
        <f>'Campaign Brief Template'!C62</f>
        <v>Male and Female</v>
      </c>
      <c r="F8" s="262"/>
      <c r="G8" s="239"/>
      <c r="H8" s="268"/>
      <c r="I8" s="257"/>
      <c r="J8" s="251"/>
      <c r="K8" s="246"/>
      <c r="L8" s="254"/>
      <c r="M8" s="252"/>
      <c r="N8" s="249"/>
    </row>
    <row r="9" spans="1:16" ht="21.95" customHeight="1">
      <c r="A9" s="240"/>
      <c r="B9" s="237"/>
      <c r="C9" s="237"/>
      <c r="D9" s="237"/>
      <c r="E9" s="55"/>
      <c r="F9" s="262"/>
      <c r="G9" s="239"/>
      <c r="H9" s="268"/>
      <c r="I9" s="257"/>
      <c r="J9" s="251"/>
      <c r="K9" s="246"/>
      <c r="L9" s="254"/>
      <c r="M9" s="252"/>
      <c r="N9" s="249"/>
    </row>
    <row r="10" spans="1:16" ht="21.95" customHeight="1">
      <c r="A10" s="240"/>
      <c r="B10" s="235">
        <f>'Campaign Brief Template'!C16</f>
        <v>0</v>
      </c>
      <c r="C10" s="237" t="str">
        <f>'Campaign Brief Template'!F36</f>
        <v>FB - Traffic</v>
      </c>
      <c r="D10" s="237" t="str">
        <f>'Campaign Brief Template'!F34</f>
        <v>Auction</v>
      </c>
      <c r="E10" s="55"/>
      <c r="F10" s="261" t="s">
        <v>176</v>
      </c>
      <c r="G10" s="239">
        <v>43030914</v>
      </c>
      <c r="H10" s="268" t="e">
        <f>L7/I10</f>
        <v>#DIV/0!</v>
      </c>
      <c r="I10" s="257">
        <v>0</v>
      </c>
      <c r="J10" s="251"/>
      <c r="K10" s="246">
        <v>0</v>
      </c>
      <c r="L10" s="254"/>
      <c r="M10" s="252"/>
      <c r="N10" s="249"/>
    </row>
    <row r="11" spans="1:16" ht="21.95" customHeight="1">
      <c r="A11" s="240"/>
      <c r="B11" s="235"/>
      <c r="C11" s="237"/>
      <c r="D11" s="237"/>
      <c r="E11" s="55" t="s">
        <v>177</v>
      </c>
      <c r="F11" s="262"/>
      <c r="G11" s="239"/>
      <c r="H11" s="268"/>
      <c r="I11" s="257"/>
      <c r="J11" s="251"/>
      <c r="K11" s="246"/>
      <c r="L11" s="254"/>
      <c r="M11" s="252"/>
      <c r="N11" s="249"/>
    </row>
    <row r="12" spans="1:16" ht="21.95" customHeight="1">
      <c r="A12" s="240"/>
      <c r="B12" s="236"/>
      <c r="C12" s="238"/>
      <c r="D12" s="238"/>
      <c r="E12" s="56" t="s">
        <v>178</v>
      </c>
      <c r="F12" s="263"/>
      <c r="G12" s="264"/>
      <c r="H12" s="269"/>
      <c r="I12" s="258"/>
      <c r="J12" s="259"/>
      <c r="K12" s="248"/>
      <c r="L12" s="255"/>
      <c r="M12" s="253"/>
      <c r="N12" s="250"/>
    </row>
    <row r="14" spans="1:16">
      <c r="B14" s="234" t="s">
        <v>161</v>
      </c>
      <c r="C14" s="234"/>
      <c r="D14" s="234"/>
      <c r="E14" s="234"/>
      <c r="F14" s="260" t="s">
        <v>162</v>
      </c>
      <c r="G14" s="260"/>
      <c r="H14" s="260"/>
      <c r="I14" s="260"/>
      <c r="J14" s="260"/>
      <c r="K14" s="260"/>
      <c r="L14" s="260"/>
      <c r="M14" s="260"/>
      <c r="N14" s="234" t="s">
        <v>161</v>
      </c>
      <c r="O14" s="234"/>
      <c r="P14" s="234"/>
    </row>
    <row r="15" spans="1:16" ht="42.95" customHeight="1">
      <c r="A15" s="241" t="s">
        <v>179</v>
      </c>
      <c r="B15" s="49" t="s">
        <v>163</v>
      </c>
      <c r="C15" s="50" t="s">
        <v>164</v>
      </c>
      <c r="D15" s="50" t="s">
        <v>165</v>
      </c>
      <c r="E15" s="50" t="s">
        <v>166</v>
      </c>
      <c r="F15" s="50" t="s">
        <v>167</v>
      </c>
      <c r="G15" s="51" t="s">
        <v>168</v>
      </c>
      <c r="H15" s="57" t="s">
        <v>180</v>
      </c>
      <c r="I15" s="51" t="s">
        <v>181</v>
      </c>
      <c r="J15" s="51" t="s">
        <v>182</v>
      </c>
      <c r="K15" s="53" t="s">
        <v>183</v>
      </c>
      <c r="L15" s="52" t="s">
        <v>171</v>
      </c>
      <c r="M15" s="53" t="s">
        <v>172</v>
      </c>
      <c r="N15" s="53" t="s">
        <v>173</v>
      </c>
      <c r="O15" s="50"/>
      <c r="P15" s="54" t="s">
        <v>174</v>
      </c>
    </row>
    <row r="16" spans="1:16" ht="21.95" customHeight="1">
      <c r="A16" s="241"/>
      <c r="B16" s="237">
        <f>'Campaign Brief Template'!C16</f>
        <v>0</v>
      </c>
      <c r="C16" s="237" t="str">
        <f>'Campaign Brief Template'!C36</f>
        <v>ENTER HERE</v>
      </c>
      <c r="D16" s="237" t="str">
        <f>'Campaign Brief Template'!C34</f>
        <v>R/F Campaign</v>
      </c>
      <c r="E16" s="55" t="str">
        <f>'Campaign Brief Template'!C61</f>
        <v>25-50</v>
      </c>
      <c r="F16" s="261" t="s">
        <v>176</v>
      </c>
      <c r="G16" s="239">
        <v>43030914</v>
      </c>
      <c r="H16" s="242"/>
      <c r="I16" s="243"/>
      <c r="J16" s="244">
        <f>K16/8</f>
        <v>0.55000000000000004</v>
      </c>
      <c r="K16" s="245">
        <v>4.4000000000000004</v>
      </c>
      <c r="L16" s="243"/>
      <c r="M16" s="246">
        <v>0</v>
      </c>
      <c r="N16" s="254"/>
      <c r="O16" s="252"/>
      <c r="P16" s="249"/>
    </row>
    <row r="17" spans="1:16" ht="21.95" customHeight="1">
      <c r="A17" s="241"/>
      <c r="B17" s="237"/>
      <c r="C17" s="237"/>
      <c r="D17" s="237"/>
      <c r="E17" s="55" t="str">
        <f>'Campaign Brief Template'!C62</f>
        <v>Male and Female</v>
      </c>
      <c r="F17" s="262"/>
      <c r="G17" s="239"/>
      <c r="H17" s="242"/>
      <c r="I17" s="243"/>
      <c r="J17" s="244"/>
      <c r="K17" s="245"/>
      <c r="L17" s="243"/>
      <c r="M17" s="246"/>
      <c r="N17" s="254"/>
      <c r="O17" s="252"/>
      <c r="P17" s="249"/>
    </row>
    <row r="18" spans="1:16" ht="21.95" customHeight="1">
      <c r="A18" s="241"/>
      <c r="B18" s="237"/>
      <c r="C18" s="237"/>
      <c r="D18" s="237"/>
      <c r="E18" s="55"/>
      <c r="F18" s="262"/>
      <c r="G18" s="239"/>
      <c r="H18" s="242"/>
      <c r="I18" s="243"/>
      <c r="J18" s="244"/>
      <c r="K18" s="245"/>
      <c r="L18" s="243"/>
      <c r="M18" s="246"/>
      <c r="N18" s="254"/>
      <c r="O18" s="252"/>
      <c r="P18" s="249"/>
    </row>
    <row r="19" spans="1:16" ht="21.95" customHeight="1">
      <c r="A19" s="241"/>
      <c r="B19" s="235">
        <f>'Campaign Brief Template'!C16</f>
        <v>0</v>
      </c>
      <c r="C19" s="237" t="str">
        <f>'Campaign Brief Template'!C36</f>
        <v>ENTER HERE</v>
      </c>
      <c r="D19" s="237" t="str">
        <f>'Campaign Brief Template'!C34</f>
        <v>R/F Campaign</v>
      </c>
      <c r="E19" s="55"/>
      <c r="F19" s="261" t="s">
        <v>176</v>
      </c>
      <c r="G19" s="239">
        <v>43030914</v>
      </c>
      <c r="H19" s="242"/>
      <c r="I19" s="243"/>
      <c r="J19" s="244">
        <f t="shared" ref="J19" si="0">K19/8</f>
        <v>0.625</v>
      </c>
      <c r="K19" s="245">
        <v>5</v>
      </c>
      <c r="L19" s="243"/>
      <c r="M19" s="246">
        <v>0</v>
      </c>
      <c r="N19" s="254"/>
      <c r="O19" s="252"/>
      <c r="P19" s="249"/>
    </row>
    <row r="20" spans="1:16" ht="21.95" customHeight="1">
      <c r="A20" s="241"/>
      <c r="B20" s="235"/>
      <c r="C20" s="237"/>
      <c r="D20" s="237"/>
      <c r="E20" s="55" t="s">
        <v>177</v>
      </c>
      <c r="F20" s="262"/>
      <c r="G20" s="239"/>
      <c r="H20" s="242"/>
      <c r="I20" s="243"/>
      <c r="J20" s="244"/>
      <c r="K20" s="245"/>
      <c r="L20" s="243"/>
      <c r="M20" s="246"/>
      <c r="N20" s="254"/>
      <c r="O20" s="252"/>
      <c r="P20" s="249"/>
    </row>
    <row r="21" spans="1:16" ht="21.95" customHeight="1">
      <c r="A21" s="241"/>
      <c r="B21" s="236"/>
      <c r="C21" s="238"/>
      <c r="D21" s="238"/>
      <c r="E21" s="56" t="s">
        <v>178</v>
      </c>
      <c r="F21" s="263"/>
      <c r="G21" s="264"/>
      <c r="H21" s="265"/>
      <c r="I21" s="247"/>
      <c r="J21" s="266"/>
      <c r="K21" s="267"/>
      <c r="L21" s="247"/>
      <c r="M21" s="248"/>
      <c r="N21" s="255"/>
      <c r="O21" s="253"/>
      <c r="P21" s="250"/>
    </row>
    <row r="25" spans="1:16">
      <c r="A25" s="241" t="s">
        <v>184</v>
      </c>
    </row>
    <row r="26" spans="1:16">
      <c r="A26" s="241"/>
    </row>
    <row r="27" spans="1:16">
      <c r="A27" s="241"/>
    </row>
    <row r="28" spans="1:16">
      <c r="A28" s="241"/>
    </row>
    <row r="29" spans="1:16">
      <c r="A29" s="241"/>
    </row>
    <row r="30" spans="1:16">
      <c r="A30" s="241"/>
    </row>
    <row r="31" spans="1:16">
      <c r="A31" s="241"/>
    </row>
  </sheetData>
  <mergeCells count="58">
    <mergeCell ref="A25:A31"/>
    <mergeCell ref="F5:K5"/>
    <mergeCell ref="F10:F12"/>
    <mergeCell ref="G10:G12"/>
    <mergeCell ref="H19:H21"/>
    <mergeCell ref="G19:G21"/>
    <mergeCell ref="F19:F21"/>
    <mergeCell ref="I19:I21"/>
    <mergeCell ref="J19:J21"/>
    <mergeCell ref="K19:K21"/>
    <mergeCell ref="H7:H9"/>
    <mergeCell ref="H10:H12"/>
    <mergeCell ref="F14:M14"/>
    <mergeCell ref="F16:F18"/>
    <mergeCell ref="F7:F9"/>
    <mergeCell ref="G7:G9"/>
    <mergeCell ref="L5:N5"/>
    <mergeCell ref="I7:I9"/>
    <mergeCell ref="I10:I12"/>
    <mergeCell ref="J10:J12"/>
    <mergeCell ref="K10:K12"/>
    <mergeCell ref="L7:L12"/>
    <mergeCell ref="M16:M18"/>
    <mergeCell ref="L19:L21"/>
    <mergeCell ref="M19:M21"/>
    <mergeCell ref="N7:N12"/>
    <mergeCell ref="J7:J9"/>
    <mergeCell ref="K7:K9"/>
    <mergeCell ref="M7:M12"/>
    <mergeCell ref="N14:P14"/>
    <mergeCell ref="N16:N21"/>
    <mergeCell ref="O16:O21"/>
    <mergeCell ref="P16:P21"/>
    <mergeCell ref="H16:H18"/>
    <mergeCell ref="I16:I18"/>
    <mergeCell ref="J16:J18"/>
    <mergeCell ref="K16:K18"/>
    <mergeCell ref="L16:L18"/>
    <mergeCell ref="G16:G18"/>
    <mergeCell ref="A7:A12"/>
    <mergeCell ref="B7:B9"/>
    <mergeCell ref="C7:C9"/>
    <mergeCell ref="D7:D9"/>
    <mergeCell ref="A15:A21"/>
    <mergeCell ref="B19:B21"/>
    <mergeCell ref="C19:C21"/>
    <mergeCell ref="D19:D21"/>
    <mergeCell ref="B16:B18"/>
    <mergeCell ref="C16:C18"/>
    <mergeCell ref="D16:D18"/>
    <mergeCell ref="C1:D1"/>
    <mergeCell ref="C2:D2"/>
    <mergeCell ref="C3:D3"/>
    <mergeCell ref="B5:E5"/>
    <mergeCell ref="B14:E14"/>
    <mergeCell ref="B10:B12"/>
    <mergeCell ref="C10:C12"/>
    <mergeCell ref="D10:D12"/>
  </mergeCells>
  <pageMargins left="0.75" right="0.75" top="1" bottom="1" header="0.5" footer="0.5"/>
  <ignoredErrors>
    <ignoredError sqref="N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showGridLines="0" zoomScale="55" zoomScaleNormal="55" workbookViewId="0">
      <selection activeCell="E14" sqref="E14"/>
    </sheetView>
  </sheetViews>
  <sheetFormatPr defaultColWidth="11" defaultRowHeight="15.6"/>
  <cols>
    <col min="1" max="1" width="19.125" customWidth="1"/>
    <col min="2" max="2" width="43.125" customWidth="1"/>
    <col min="3" max="3" width="46" customWidth="1"/>
    <col min="4" max="4" width="24" customWidth="1"/>
  </cols>
  <sheetData>
    <row r="1" spans="1:4" ht="23.1">
      <c r="B1" s="46" t="s">
        <v>159</v>
      </c>
      <c r="C1" s="232">
        <f>'Campaign Brief Template'!C14</f>
        <v>0</v>
      </c>
      <c r="D1" s="232"/>
    </row>
    <row r="2" spans="1:4" ht="23.1">
      <c r="B2" s="46" t="s">
        <v>160</v>
      </c>
      <c r="C2" s="233">
        <f>'Campaign Brief Template'!C15</f>
        <v>0</v>
      </c>
      <c r="D2" s="233"/>
    </row>
    <row r="3" spans="1:4" ht="23.1">
      <c r="B3" s="46" t="s">
        <v>17</v>
      </c>
      <c r="C3" s="232">
        <f>'Campaign Brief Template'!C16</f>
        <v>0</v>
      </c>
      <c r="D3" s="232"/>
    </row>
    <row r="6" spans="1:4" ht="18">
      <c r="A6" s="48"/>
      <c r="B6" s="49" t="s">
        <v>185</v>
      </c>
      <c r="C6" s="58" t="s">
        <v>186</v>
      </c>
    </row>
    <row r="7" spans="1:4" ht="15.95" customHeight="1">
      <c r="A7" s="240" t="s">
        <v>187</v>
      </c>
      <c r="B7" s="271"/>
      <c r="C7" s="270"/>
    </row>
    <row r="8" spans="1:4" ht="15.95" customHeight="1">
      <c r="A8" s="240"/>
      <c r="B8" s="271"/>
      <c r="C8" s="270"/>
    </row>
    <row r="9" spans="1:4" ht="15.95" customHeight="1">
      <c r="A9" s="240"/>
      <c r="B9" s="271"/>
      <c r="C9" s="270"/>
    </row>
    <row r="10" spans="1:4" ht="15.95" customHeight="1">
      <c r="A10" s="240"/>
      <c r="B10" s="271"/>
      <c r="C10" s="270"/>
    </row>
    <row r="11" spans="1:4" ht="15.95" customHeight="1">
      <c r="A11" s="240"/>
      <c r="B11" s="271"/>
      <c r="C11" s="270"/>
    </row>
    <row r="12" spans="1:4" ht="15.95" customHeight="1">
      <c r="A12" s="240"/>
      <c r="B12" s="271"/>
      <c r="C12" s="270"/>
    </row>
    <row r="13" spans="1:4" ht="18">
      <c r="A13" s="48"/>
      <c r="B13" s="49" t="s">
        <v>185</v>
      </c>
      <c r="C13" s="58" t="s">
        <v>186</v>
      </c>
    </row>
    <row r="14" spans="1:4" ht="15.95" customHeight="1">
      <c r="A14" s="240" t="s">
        <v>188</v>
      </c>
      <c r="B14" s="271"/>
      <c r="C14" s="270"/>
    </row>
    <row r="15" spans="1:4" ht="15.95" customHeight="1">
      <c r="A15" s="240"/>
      <c r="B15" s="271"/>
      <c r="C15" s="270"/>
    </row>
    <row r="16" spans="1:4" ht="15.95" customHeight="1">
      <c r="A16" s="240"/>
      <c r="B16" s="271"/>
      <c r="C16" s="270"/>
    </row>
    <row r="17" spans="1:3" ht="15.95" customHeight="1">
      <c r="A17" s="240"/>
      <c r="B17" s="271"/>
      <c r="C17" s="270"/>
    </row>
    <row r="18" spans="1:3" ht="15.95" customHeight="1">
      <c r="A18" s="240"/>
      <c r="B18" s="271"/>
      <c r="C18" s="270"/>
    </row>
    <row r="19" spans="1:3" ht="15.95" customHeight="1">
      <c r="A19" s="240"/>
      <c r="B19" s="271"/>
      <c r="C19" s="270"/>
    </row>
  </sheetData>
  <mergeCells count="9">
    <mergeCell ref="C1:D1"/>
    <mergeCell ref="C2:D2"/>
    <mergeCell ref="C3:D3"/>
    <mergeCell ref="A7:A12"/>
    <mergeCell ref="A14:A19"/>
    <mergeCell ref="C7:C12"/>
    <mergeCell ref="C14:C19"/>
    <mergeCell ref="B7:B12"/>
    <mergeCell ref="B14:B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"/>
  <sheetViews>
    <sheetView showGridLines="0" topLeftCell="A19" zoomScale="70" zoomScaleNormal="70" workbookViewId="0">
      <selection activeCell="F7" sqref="F7"/>
    </sheetView>
  </sheetViews>
  <sheetFormatPr defaultColWidth="10.875" defaultRowHeight="15.6"/>
  <cols>
    <col min="1" max="1" width="19.125" style="1" customWidth="1"/>
    <col min="2" max="3" width="24.375" style="1" customWidth="1"/>
    <col min="4" max="4" width="23.625" style="1" customWidth="1"/>
    <col min="5" max="6" width="14.625" style="1" customWidth="1"/>
    <col min="7" max="7" width="25.375" style="1" customWidth="1"/>
    <col min="8" max="9" width="14.5" style="1" customWidth="1"/>
    <col min="10" max="10" width="13.5" style="1" customWidth="1"/>
    <col min="11" max="11" width="16.625" style="1" customWidth="1"/>
    <col min="12" max="12" width="15" style="1" customWidth="1"/>
    <col min="13" max="13" width="16.625" style="1" customWidth="1"/>
    <col min="14" max="14" width="25.625" style="1" customWidth="1"/>
    <col min="15" max="15" width="15.875" style="1" customWidth="1"/>
    <col min="16" max="16" width="15.625" style="1" customWidth="1"/>
    <col min="17" max="17" width="10.875" style="1"/>
    <col min="18" max="18" width="19.5" style="1" customWidth="1"/>
    <col min="19" max="19" width="27.875" style="1" customWidth="1"/>
    <col min="20" max="20" width="10.875" style="1"/>
    <col min="21" max="21" width="35" style="1" customWidth="1"/>
    <col min="22" max="22" width="16.375" style="1" customWidth="1"/>
    <col min="23" max="23" width="14" style="1" customWidth="1"/>
    <col min="24" max="24" width="16.625" style="1" customWidth="1"/>
    <col min="25" max="25" width="42.125" style="1" customWidth="1"/>
    <col min="26" max="16384" width="10.875" style="1"/>
  </cols>
  <sheetData>
    <row r="1" spans="1:25" ht="24" customHeight="1">
      <c r="B1" s="46" t="s">
        <v>159</v>
      </c>
      <c r="C1" s="232" t="s">
        <v>189</v>
      </c>
      <c r="D1" s="232"/>
      <c r="E1" s="107"/>
      <c r="F1" s="36"/>
    </row>
    <row r="2" spans="1:25" ht="23.1" customHeight="1">
      <c r="B2" s="46" t="s">
        <v>160</v>
      </c>
      <c r="C2" s="232" t="s">
        <v>190</v>
      </c>
      <c r="D2" s="232"/>
      <c r="E2" s="107"/>
      <c r="F2" s="36"/>
    </row>
    <row r="3" spans="1:25" ht="23.1">
      <c r="B3" s="46" t="s">
        <v>191</v>
      </c>
      <c r="C3" s="272"/>
      <c r="D3" s="272"/>
      <c r="E3" s="107"/>
    </row>
    <row r="5" spans="1:25" ht="24.95">
      <c r="A5" s="273"/>
      <c r="B5" s="273"/>
      <c r="C5" s="59"/>
      <c r="E5" s="274" t="s">
        <v>161</v>
      </c>
      <c r="F5" s="274"/>
      <c r="H5" s="43" t="s">
        <v>161</v>
      </c>
      <c r="J5" s="43" t="s">
        <v>161</v>
      </c>
      <c r="L5" s="43" t="s">
        <v>161</v>
      </c>
      <c r="P5" s="37"/>
      <c r="S5" s="156" t="s">
        <v>192</v>
      </c>
      <c r="T5" s="156"/>
      <c r="U5" s="156"/>
      <c r="W5" s="156" t="s">
        <v>192</v>
      </c>
      <c r="X5" s="156"/>
    </row>
    <row r="6" spans="1:25" ht="81.95">
      <c r="A6" s="49" t="s">
        <v>163</v>
      </c>
      <c r="B6" s="49" t="s">
        <v>193</v>
      </c>
      <c r="C6" s="49" t="s">
        <v>194</v>
      </c>
      <c r="D6" s="49" t="s">
        <v>195</v>
      </c>
      <c r="E6" s="49" t="s">
        <v>196</v>
      </c>
      <c r="F6" s="49" t="s">
        <v>197</v>
      </c>
      <c r="G6" s="49" t="s">
        <v>198</v>
      </c>
      <c r="H6" s="49" t="s">
        <v>199</v>
      </c>
      <c r="I6" s="49" t="s">
        <v>200</v>
      </c>
      <c r="J6" s="49" t="s">
        <v>201</v>
      </c>
      <c r="K6" s="49" t="s">
        <v>202</v>
      </c>
      <c r="L6" s="49" t="s">
        <v>203</v>
      </c>
      <c r="M6" s="49" t="s">
        <v>204</v>
      </c>
      <c r="N6" s="49" t="s">
        <v>205</v>
      </c>
      <c r="O6" s="49" t="s">
        <v>206</v>
      </c>
      <c r="P6" s="49" t="s">
        <v>207</v>
      </c>
      <c r="Q6" s="49" t="s">
        <v>208</v>
      </c>
      <c r="R6" s="49" t="s">
        <v>209</v>
      </c>
      <c r="S6" s="49" t="s">
        <v>210</v>
      </c>
      <c r="T6" s="49" t="s">
        <v>211</v>
      </c>
      <c r="U6" s="49" t="s">
        <v>212</v>
      </c>
      <c r="V6" s="49" t="s">
        <v>213</v>
      </c>
      <c r="W6" s="49" t="s">
        <v>214</v>
      </c>
      <c r="X6" s="49" t="s">
        <v>215</v>
      </c>
      <c r="Y6" s="58" t="s">
        <v>216</v>
      </c>
    </row>
    <row r="7" spans="1:25" ht="216" customHeight="1">
      <c r="A7" s="72" t="s">
        <v>96</v>
      </c>
      <c r="B7" s="60" t="s">
        <v>217</v>
      </c>
      <c r="C7" s="62" t="s">
        <v>218</v>
      </c>
      <c r="D7" s="63" t="s">
        <v>219</v>
      </c>
      <c r="E7" s="64" t="s">
        <v>220</v>
      </c>
      <c r="F7" s="64" t="s">
        <v>221</v>
      </c>
      <c r="G7" s="62" t="s">
        <v>222</v>
      </c>
      <c r="H7" s="65">
        <f>IF((LEN(G7)&lt;90),LEN(G7),"TOO LONG")</f>
        <v>43</v>
      </c>
      <c r="I7" s="62" t="s">
        <v>223</v>
      </c>
      <c r="J7" s="65">
        <f>IF((LEN(I7)&lt;25),LEN(I7),"TOO LONG")</f>
        <v>18</v>
      </c>
      <c r="K7" s="62" t="s">
        <v>224</v>
      </c>
      <c r="L7" s="65" t="str">
        <f>IF((LEN(K7)&lt;30),LEN(K7),"TOO LONG")</f>
        <v>TOO LONG</v>
      </c>
      <c r="M7" s="62"/>
      <c r="N7" s="66"/>
      <c r="O7" s="62" t="s">
        <v>225</v>
      </c>
      <c r="P7" s="62" t="s">
        <v>226</v>
      </c>
      <c r="Q7" s="63" t="s">
        <v>227</v>
      </c>
      <c r="R7" s="67"/>
      <c r="S7" s="68" t="s">
        <v>228</v>
      </c>
      <c r="T7" s="69">
        <v>42736</v>
      </c>
      <c r="U7" s="68" t="s">
        <v>229</v>
      </c>
      <c r="V7" s="63"/>
      <c r="W7" s="70"/>
      <c r="X7" s="70"/>
      <c r="Y7" s="71"/>
    </row>
    <row r="8" spans="1:25" ht="216" customHeight="1">
      <c r="A8" s="73" t="s">
        <v>96</v>
      </c>
      <c r="B8" s="62" t="s">
        <v>230</v>
      </c>
      <c r="C8" s="62" t="s">
        <v>231</v>
      </c>
      <c r="D8" s="63" t="s">
        <v>219</v>
      </c>
      <c r="E8" s="64" t="s">
        <v>220</v>
      </c>
      <c r="F8" s="64" t="s">
        <v>221</v>
      </c>
      <c r="G8" s="62" t="s">
        <v>222</v>
      </c>
      <c r="H8" s="65">
        <f t="shared" ref="H8:H10" si="0">IF((LEN(G8)&lt;90),LEN(G8),"TOO LONG")</f>
        <v>43</v>
      </c>
      <c r="I8" s="62" t="s">
        <v>223</v>
      </c>
      <c r="J8" s="65">
        <f t="shared" ref="J8:J10" si="1">IF((LEN(I8)&lt;25),LEN(I8),"TOO LONG")</f>
        <v>18</v>
      </c>
      <c r="K8" s="62" t="s">
        <v>224</v>
      </c>
      <c r="L8" s="65" t="str">
        <f t="shared" ref="L8:L10" si="2">IF((LEN(K8)&lt;30),LEN(K8),"TOO LONG")</f>
        <v>TOO LONG</v>
      </c>
      <c r="M8" s="62"/>
      <c r="N8" s="66"/>
      <c r="O8" s="62" t="s">
        <v>225</v>
      </c>
      <c r="P8" s="62"/>
      <c r="Q8" s="63" t="s">
        <v>232</v>
      </c>
      <c r="R8" s="67"/>
      <c r="S8" s="68" t="s">
        <v>233</v>
      </c>
      <c r="T8" s="69">
        <v>42736</v>
      </c>
      <c r="U8" s="68" t="s">
        <v>234</v>
      </c>
      <c r="V8" s="63"/>
      <c r="W8" s="70"/>
      <c r="X8" s="70"/>
      <c r="Y8" s="71"/>
    </row>
    <row r="9" spans="1:25" ht="216" customHeight="1">
      <c r="A9" s="73" t="s">
        <v>98</v>
      </c>
      <c r="B9" s="62" t="s">
        <v>217</v>
      </c>
      <c r="C9" s="39" t="s">
        <v>235</v>
      </c>
      <c r="D9" s="38" t="s">
        <v>236</v>
      </c>
      <c r="E9" s="44" t="s">
        <v>220</v>
      </c>
      <c r="F9" s="44" t="s">
        <v>221</v>
      </c>
      <c r="G9" s="39" t="s">
        <v>222</v>
      </c>
      <c r="H9" s="45">
        <f t="shared" si="0"/>
        <v>43</v>
      </c>
      <c r="I9" s="39" t="s">
        <v>223</v>
      </c>
      <c r="J9" s="45">
        <f t="shared" si="1"/>
        <v>18</v>
      </c>
      <c r="K9" s="39" t="s">
        <v>224</v>
      </c>
      <c r="L9" s="45" t="str">
        <f t="shared" si="2"/>
        <v>TOO LONG</v>
      </c>
      <c r="M9" s="62"/>
      <c r="N9" s="66"/>
      <c r="O9" s="39" t="s">
        <v>225</v>
      </c>
      <c r="P9" s="62" t="s">
        <v>237</v>
      </c>
      <c r="Q9" s="38" t="s">
        <v>232</v>
      </c>
      <c r="R9" s="61"/>
      <c r="S9" s="106" t="s">
        <v>233</v>
      </c>
      <c r="T9" s="40">
        <v>42736</v>
      </c>
      <c r="U9" s="106" t="s">
        <v>234</v>
      </c>
      <c r="V9" s="38"/>
      <c r="W9" s="41"/>
      <c r="X9" s="41"/>
      <c r="Y9" s="42"/>
    </row>
    <row r="10" spans="1:25" ht="216" customHeight="1">
      <c r="A10" s="73" t="s">
        <v>98</v>
      </c>
      <c r="B10" s="62" t="s">
        <v>230</v>
      </c>
      <c r="C10" s="62" t="s">
        <v>238</v>
      </c>
      <c r="D10" s="63" t="s">
        <v>236</v>
      </c>
      <c r="E10" s="64" t="s">
        <v>220</v>
      </c>
      <c r="F10" s="64" t="s">
        <v>221</v>
      </c>
      <c r="G10" s="62" t="s">
        <v>222</v>
      </c>
      <c r="H10" s="65">
        <f t="shared" si="0"/>
        <v>43</v>
      </c>
      <c r="I10" s="62" t="s">
        <v>223</v>
      </c>
      <c r="J10" s="65">
        <f t="shared" si="1"/>
        <v>18</v>
      </c>
      <c r="K10" s="62" t="s">
        <v>224</v>
      </c>
      <c r="L10" s="65" t="str">
        <f t="shared" si="2"/>
        <v>TOO LONG</v>
      </c>
      <c r="M10" s="62"/>
      <c r="N10" s="66"/>
      <c r="O10" s="62" t="s">
        <v>225</v>
      </c>
      <c r="P10" s="62" t="s">
        <v>239</v>
      </c>
      <c r="Q10" s="63" t="s">
        <v>240</v>
      </c>
      <c r="R10" s="67"/>
      <c r="S10" s="68" t="s">
        <v>241</v>
      </c>
      <c r="T10" s="69">
        <v>42736</v>
      </c>
      <c r="U10" s="68" t="s">
        <v>229</v>
      </c>
      <c r="V10" s="63"/>
      <c r="W10" s="70"/>
      <c r="X10" s="70"/>
      <c r="Y10" s="71"/>
    </row>
    <row r="13" spans="1:25" ht="23.1">
      <c r="A13" s="46"/>
      <c r="B13" s="232"/>
      <c r="C13" s="232"/>
    </row>
  </sheetData>
  <mergeCells count="8">
    <mergeCell ref="B13:C13"/>
    <mergeCell ref="C1:D1"/>
    <mergeCell ref="C2:D2"/>
    <mergeCell ref="C3:D3"/>
    <mergeCell ref="W5:X5"/>
    <mergeCell ref="S5:U5"/>
    <mergeCell ref="A5:B5"/>
    <mergeCell ref="E5:F5"/>
  </mergeCells>
  <conditionalFormatting sqref="H7">
    <cfRule type="expression" dxfId="0" priority="1">
      <formula>LEN($G$7)&gt;90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zoomScale="70" zoomScaleNormal="70" workbookViewId="0">
      <selection activeCell="C9" sqref="C9"/>
    </sheetView>
  </sheetViews>
  <sheetFormatPr defaultColWidth="11" defaultRowHeight="15.6"/>
  <cols>
    <col min="1" max="1" width="25.625" bestFit="1" customWidth="1"/>
    <col min="2" max="2" width="22.375" bestFit="1" customWidth="1"/>
    <col min="3" max="3" width="30.625" bestFit="1" customWidth="1"/>
    <col min="4" max="4" width="29" customWidth="1"/>
    <col min="5" max="5" width="24.5" customWidth="1"/>
    <col min="8" max="8" width="15" bestFit="1" customWidth="1"/>
    <col min="10" max="10" width="28.5" bestFit="1" customWidth="1"/>
  </cols>
  <sheetData>
    <row r="1" spans="1:12">
      <c r="A1" t="s">
        <v>242</v>
      </c>
      <c r="B1" t="s">
        <v>243</v>
      </c>
      <c r="C1" t="s">
        <v>244</v>
      </c>
      <c r="D1" t="s">
        <v>245</v>
      </c>
      <c r="E1" t="s">
        <v>43</v>
      </c>
      <c r="H1" t="s">
        <v>246</v>
      </c>
      <c r="J1" t="s">
        <v>48</v>
      </c>
    </row>
    <row r="2" spans="1:12">
      <c r="A2" t="s">
        <v>39</v>
      </c>
      <c r="B2" t="s">
        <v>39</v>
      </c>
      <c r="C2" t="s">
        <v>44</v>
      </c>
      <c r="D2" t="s">
        <v>44</v>
      </c>
      <c r="E2" t="s">
        <v>44</v>
      </c>
      <c r="F2" t="s">
        <v>44</v>
      </c>
      <c r="H2" t="s">
        <v>46</v>
      </c>
      <c r="J2" t="s">
        <v>49</v>
      </c>
      <c r="L2" t="s">
        <v>247</v>
      </c>
    </row>
    <row r="3" spans="1:12">
      <c r="A3" t="s">
        <v>248</v>
      </c>
      <c r="B3" t="s">
        <v>248</v>
      </c>
      <c r="C3" t="s">
        <v>249</v>
      </c>
      <c r="D3" t="s">
        <v>249</v>
      </c>
      <c r="E3" t="s">
        <v>249</v>
      </c>
      <c r="F3" t="s">
        <v>39</v>
      </c>
      <c r="H3" t="s">
        <v>250</v>
      </c>
      <c r="J3" t="s">
        <v>251</v>
      </c>
      <c r="L3" t="s">
        <v>51</v>
      </c>
    </row>
    <row r="4" spans="1:12">
      <c r="A4" t="s">
        <v>252</v>
      </c>
      <c r="B4" t="s">
        <v>252</v>
      </c>
      <c r="C4" t="s">
        <v>253</v>
      </c>
      <c r="D4" t="s">
        <v>254</v>
      </c>
      <c r="E4" t="s">
        <v>253</v>
      </c>
      <c r="H4" t="s">
        <v>255</v>
      </c>
      <c r="J4" t="s">
        <v>256</v>
      </c>
      <c r="L4" t="s">
        <v>39</v>
      </c>
    </row>
    <row r="5" spans="1:12">
      <c r="A5" t="s">
        <v>40</v>
      </c>
      <c r="B5" t="s">
        <v>40</v>
      </c>
      <c r="C5" t="s">
        <v>257</v>
      </c>
      <c r="D5" t="s">
        <v>258</v>
      </c>
      <c r="E5" t="s">
        <v>257</v>
      </c>
      <c r="H5" t="s">
        <v>259</v>
      </c>
      <c r="J5" t="s">
        <v>260</v>
      </c>
    </row>
    <row r="6" spans="1:12">
      <c r="A6" t="s">
        <v>261</v>
      </c>
      <c r="B6" t="s">
        <v>261</v>
      </c>
      <c r="C6" t="s">
        <v>262</v>
      </c>
      <c r="D6" t="s">
        <v>263</v>
      </c>
      <c r="E6" t="s">
        <v>254</v>
      </c>
      <c r="H6" t="s">
        <v>264</v>
      </c>
      <c r="J6" t="s">
        <v>265</v>
      </c>
    </row>
    <row r="7" spans="1:12">
      <c r="A7" t="s">
        <v>266</v>
      </c>
      <c r="B7" t="s">
        <v>266</v>
      </c>
      <c r="C7" t="s">
        <v>267</v>
      </c>
      <c r="D7" t="s">
        <v>268</v>
      </c>
      <c r="E7" t="s">
        <v>262</v>
      </c>
      <c r="H7" t="s">
        <v>269</v>
      </c>
      <c r="J7" t="s">
        <v>270</v>
      </c>
    </row>
    <row r="8" spans="1:12">
      <c r="A8" t="s">
        <v>271</v>
      </c>
      <c r="B8" t="s">
        <v>271</v>
      </c>
      <c r="C8" t="s">
        <v>272</v>
      </c>
      <c r="D8" t="s">
        <v>273</v>
      </c>
      <c r="E8" t="s">
        <v>267</v>
      </c>
      <c r="H8" t="s">
        <v>274</v>
      </c>
      <c r="J8" t="s">
        <v>275</v>
      </c>
    </row>
    <row r="9" spans="1:12">
      <c r="A9" t="s">
        <v>276</v>
      </c>
      <c r="B9" t="s">
        <v>277</v>
      </c>
      <c r="C9" t="s">
        <v>278</v>
      </c>
      <c r="D9" t="s">
        <v>279</v>
      </c>
      <c r="E9" t="s">
        <v>272</v>
      </c>
      <c r="H9" t="s">
        <v>280</v>
      </c>
      <c r="J9" t="s">
        <v>281</v>
      </c>
    </row>
    <row r="10" spans="1:12">
      <c r="A10" t="s">
        <v>282</v>
      </c>
      <c r="C10" t="s">
        <v>283</v>
      </c>
      <c r="D10" t="s">
        <v>284</v>
      </c>
      <c r="E10" t="s">
        <v>278</v>
      </c>
      <c r="H10" t="s">
        <v>285</v>
      </c>
      <c r="J10" t="s">
        <v>286</v>
      </c>
    </row>
    <row r="11" spans="1:12">
      <c r="A11" t="s">
        <v>277</v>
      </c>
      <c r="C11" t="s">
        <v>287</v>
      </c>
      <c r="D11" t="s">
        <v>288</v>
      </c>
      <c r="E11" t="s">
        <v>283</v>
      </c>
      <c r="H11" t="s">
        <v>289</v>
      </c>
      <c r="J11" t="s">
        <v>290</v>
      </c>
    </row>
    <row r="12" spans="1:12">
      <c r="A12" t="s">
        <v>291</v>
      </c>
      <c r="C12" t="s">
        <v>292</v>
      </c>
      <c r="D12" t="s">
        <v>293</v>
      </c>
      <c r="E12" t="s">
        <v>287</v>
      </c>
      <c r="H12" t="s">
        <v>294</v>
      </c>
      <c r="J12" t="s">
        <v>295</v>
      </c>
    </row>
    <row r="13" spans="1:12">
      <c r="A13" t="s">
        <v>296</v>
      </c>
      <c r="C13" t="s">
        <v>297</v>
      </c>
      <c r="D13" t="s">
        <v>298</v>
      </c>
      <c r="E13" t="s">
        <v>292</v>
      </c>
      <c r="H13" t="s">
        <v>299</v>
      </c>
      <c r="J13" t="s">
        <v>300</v>
      </c>
    </row>
    <row r="14" spans="1:12">
      <c r="A14" t="s">
        <v>301</v>
      </c>
      <c r="C14" t="s">
        <v>302</v>
      </c>
      <c r="D14" t="s">
        <v>303</v>
      </c>
      <c r="E14" t="s">
        <v>297</v>
      </c>
      <c r="H14" t="s">
        <v>304</v>
      </c>
      <c r="J14" t="s">
        <v>305</v>
      </c>
    </row>
    <row r="15" spans="1:12">
      <c r="A15" t="s">
        <v>306</v>
      </c>
      <c r="C15" t="s">
        <v>42</v>
      </c>
      <c r="D15" t="s">
        <v>307</v>
      </c>
      <c r="E15" t="s">
        <v>308</v>
      </c>
      <c r="H15" t="s">
        <v>309</v>
      </c>
      <c r="J15" t="s">
        <v>310</v>
      </c>
    </row>
    <row r="16" spans="1:12">
      <c r="A16" t="s">
        <v>311</v>
      </c>
      <c r="C16" t="s">
        <v>312</v>
      </c>
      <c r="D16" t="s">
        <v>313</v>
      </c>
      <c r="E16" t="s">
        <v>42</v>
      </c>
      <c r="H16" t="s">
        <v>314</v>
      </c>
      <c r="J16" t="s">
        <v>315</v>
      </c>
    </row>
    <row r="17" spans="1:10">
      <c r="A17" t="s">
        <v>316</v>
      </c>
      <c r="C17" t="s">
        <v>317</v>
      </c>
      <c r="D17" t="s">
        <v>318</v>
      </c>
      <c r="E17" t="s">
        <v>312</v>
      </c>
      <c r="H17" t="s">
        <v>319</v>
      </c>
      <c r="J17" t="s">
        <v>320</v>
      </c>
    </row>
    <row r="18" spans="1:10">
      <c r="A18" t="s">
        <v>321</v>
      </c>
      <c r="C18" t="s">
        <v>322</v>
      </c>
      <c r="D18" t="s">
        <v>323</v>
      </c>
      <c r="E18" t="s">
        <v>317</v>
      </c>
      <c r="H18" t="s">
        <v>324</v>
      </c>
      <c r="J18" t="s">
        <v>325</v>
      </c>
    </row>
    <row r="19" spans="1:10">
      <c r="A19" t="s">
        <v>326</v>
      </c>
      <c r="C19" t="s">
        <v>327</v>
      </c>
      <c r="D19" t="s">
        <v>328</v>
      </c>
      <c r="E19" t="s">
        <v>322</v>
      </c>
      <c r="H19" t="s">
        <v>329</v>
      </c>
      <c r="J19" t="s">
        <v>330</v>
      </c>
    </row>
    <row r="20" spans="1:10">
      <c r="A20" t="s">
        <v>331</v>
      </c>
      <c r="C20" t="s">
        <v>332</v>
      </c>
      <c r="D20" t="s">
        <v>333</v>
      </c>
      <c r="E20" t="s">
        <v>327</v>
      </c>
      <c r="H20" t="s">
        <v>334</v>
      </c>
      <c r="J20" t="s">
        <v>335</v>
      </c>
    </row>
    <row r="21" spans="1:10">
      <c r="A21" t="s">
        <v>336</v>
      </c>
      <c r="C21" t="s">
        <v>337</v>
      </c>
      <c r="D21" t="s">
        <v>338</v>
      </c>
      <c r="E21" t="s">
        <v>332</v>
      </c>
      <c r="H21" t="s">
        <v>339</v>
      </c>
      <c r="J21" t="s">
        <v>340</v>
      </c>
    </row>
    <row r="22" spans="1:10">
      <c r="A22" t="s">
        <v>341</v>
      </c>
      <c r="C22" t="s">
        <v>342</v>
      </c>
      <c r="D22" t="s">
        <v>343</v>
      </c>
      <c r="E22" t="s">
        <v>337</v>
      </c>
      <c r="H22" t="s">
        <v>39</v>
      </c>
      <c r="J22" t="s">
        <v>344</v>
      </c>
    </row>
    <row r="23" spans="1:10">
      <c r="A23" t="s">
        <v>345</v>
      </c>
      <c r="C23" t="s">
        <v>346</v>
      </c>
      <c r="D23" t="s">
        <v>347</v>
      </c>
      <c r="E23" t="s">
        <v>342</v>
      </c>
      <c r="J23" t="s">
        <v>348</v>
      </c>
    </row>
    <row r="24" spans="1:10">
      <c r="A24" t="s">
        <v>349</v>
      </c>
      <c r="C24" t="s">
        <v>39</v>
      </c>
      <c r="D24" t="s">
        <v>350</v>
      </c>
      <c r="E24" t="s">
        <v>346</v>
      </c>
      <c r="J24" t="s">
        <v>351</v>
      </c>
    </row>
    <row r="25" spans="1:10">
      <c r="A25" t="s">
        <v>352</v>
      </c>
      <c r="D25" t="s">
        <v>353</v>
      </c>
      <c r="E25" t="s">
        <v>288</v>
      </c>
      <c r="J25" t="s">
        <v>354</v>
      </c>
    </row>
    <row r="26" spans="1:10">
      <c r="A26" t="s">
        <v>355</v>
      </c>
      <c r="D26" t="s">
        <v>356</v>
      </c>
      <c r="E26" t="s">
        <v>293</v>
      </c>
      <c r="J26" t="s">
        <v>357</v>
      </c>
    </row>
    <row r="27" spans="1:10">
      <c r="A27" t="s">
        <v>358</v>
      </c>
      <c r="D27" t="s">
        <v>39</v>
      </c>
      <c r="E27" t="s">
        <v>298</v>
      </c>
      <c r="J27" t="s">
        <v>359</v>
      </c>
    </row>
    <row r="28" spans="1:10">
      <c r="A28" t="s">
        <v>360</v>
      </c>
      <c r="E28" t="s">
        <v>303</v>
      </c>
      <c r="J28" t="s">
        <v>361</v>
      </c>
    </row>
    <row r="29" spans="1:10">
      <c r="A29" t="s">
        <v>362</v>
      </c>
      <c r="E29" t="s">
        <v>307</v>
      </c>
      <c r="J29" t="s">
        <v>363</v>
      </c>
    </row>
    <row r="30" spans="1:10">
      <c r="A30" t="s">
        <v>364</v>
      </c>
      <c r="E30" t="s">
        <v>313</v>
      </c>
      <c r="J30" t="s">
        <v>365</v>
      </c>
    </row>
    <row r="31" spans="1:10">
      <c r="A31" t="s">
        <v>366</v>
      </c>
      <c r="E31" t="s">
        <v>318</v>
      </c>
      <c r="J31" t="s">
        <v>367</v>
      </c>
    </row>
    <row r="32" spans="1:10">
      <c r="A32" t="s">
        <v>368</v>
      </c>
      <c r="E32" t="s">
        <v>323</v>
      </c>
      <c r="J32" t="s">
        <v>369</v>
      </c>
    </row>
    <row r="33" spans="1:10">
      <c r="A33" t="s">
        <v>370</v>
      </c>
      <c r="E33" t="s">
        <v>328</v>
      </c>
      <c r="J33" t="s">
        <v>371</v>
      </c>
    </row>
    <row r="34" spans="1:10">
      <c r="A34" t="s">
        <v>372</v>
      </c>
      <c r="E34" t="s">
        <v>333</v>
      </c>
      <c r="J34" t="s">
        <v>373</v>
      </c>
    </row>
    <row r="35" spans="1:10">
      <c r="A35" t="s">
        <v>374</v>
      </c>
      <c r="E35" t="s">
        <v>338</v>
      </c>
      <c r="J35" t="s">
        <v>39</v>
      </c>
    </row>
    <row r="36" spans="1:10">
      <c r="E36" t="s">
        <v>343</v>
      </c>
    </row>
  </sheetData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4D85-CE00-4EFB-B5CA-68FF0A3AA57C}">
  <dimension ref="A1"/>
  <sheetViews>
    <sheetView workbookViewId="0">
      <selection activeCell="E15" sqref="E15"/>
    </sheetView>
  </sheetViews>
  <sheetFormatPr defaultRowHeight="15.6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7"/>
  <sheetViews>
    <sheetView showGridLines="0" workbookViewId="0">
      <selection activeCell="C15" sqref="C15"/>
    </sheetView>
  </sheetViews>
  <sheetFormatPr defaultColWidth="11" defaultRowHeight="15.6"/>
  <cols>
    <col min="1" max="1" width="38.625" style="1" customWidth="1"/>
    <col min="2" max="3" width="23.625" style="1" bestFit="1" customWidth="1"/>
  </cols>
  <sheetData>
    <row r="2" spans="1:3">
      <c r="A2" s="3" t="s">
        <v>375</v>
      </c>
      <c r="B2" s="3" t="s">
        <v>376</v>
      </c>
      <c r="C2" s="3" t="s">
        <v>147</v>
      </c>
    </row>
    <row r="3" spans="1:3">
      <c r="A3" s="75" t="s">
        <v>377</v>
      </c>
      <c r="B3" s="75"/>
      <c r="C3" s="75"/>
    </row>
    <row r="4" spans="1:3">
      <c r="A4" s="75" t="s">
        <v>378</v>
      </c>
      <c r="B4" s="75"/>
      <c r="C4" s="75"/>
    </row>
    <row r="5" spans="1:3">
      <c r="A5" s="75" t="s">
        <v>379</v>
      </c>
      <c r="B5" s="75"/>
      <c r="C5" s="75"/>
    </row>
    <row r="6" spans="1:3">
      <c r="A6" s="75" t="s">
        <v>380</v>
      </c>
      <c r="B6" s="75"/>
      <c r="C6" s="75"/>
    </row>
    <row r="7" spans="1:3">
      <c r="A7" s="75" t="s">
        <v>381</v>
      </c>
      <c r="B7" s="75"/>
      <c r="C7" s="75"/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B32A9926531A418C786B1BB58EB4B4" ma:contentTypeVersion="6" ma:contentTypeDescription="Create a new document." ma:contentTypeScope="" ma:versionID="bfe2ed7a2ed6cf5da283a9a13e40a886">
  <xsd:schema xmlns:xsd="http://www.w3.org/2001/XMLSchema" xmlns:xs="http://www.w3.org/2001/XMLSchema" xmlns:p="http://schemas.microsoft.com/office/2006/metadata/properties" xmlns:ns2="f9c18c5d-0446-4f2e-9117-376a36d4b0a6" xmlns:ns3="06894d07-4fcb-42b6-8486-bc7bc7a801bc" targetNamespace="http://schemas.microsoft.com/office/2006/metadata/properties" ma:root="true" ma:fieldsID="d3207ec2a9570ce57c4bc86c370a0778" ns2:_="" ns3:_="">
    <xsd:import namespace="f9c18c5d-0446-4f2e-9117-376a36d4b0a6"/>
    <xsd:import namespace="06894d07-4fcb-42b6-8486-bc7bc7a801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18c5d-0446-4f2e-9117-376a36d4b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94d07-4fcb-42b6-8486-bc7bc7a801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0D3BE9-5826-48CF-871E-8A6A556D9567}"/>
</file>

<file path=customXml/itemProps2.xml><?xml version="1.0" encoding="utf-8"?>
<ds:datastoreItem xmlns:ds="http://schemas.openxmlformats.org/officeDocument/2006/customXml" ds:itemID="{BA7CDA6D-24DD-444F-BE87-441EE043B66A}"/>
</file>

<file path=customXml/itemProps3.xml><?xml version="1.0" encoding="utf-8"?>
<ds:datastoreItem xmlns:ds="http://schemas.openxmlformats.org/officeDocument/2006/customXml" ds:itemID="{635CC87A-8199-479D-9788-876EF096BD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Gergana Bernson</dc:creator>
  <cp:keywords/>
  <dc:description/>
  <cp:lastModifiedBy/>
  <cp:revision/>
  <dcterms:created xsi:type="dcterms:W3CDTF">2016-03-17T18:54:48Z</dcterms:created>
  <dcterms:modified xsi:type="dcterms:W3CDTF">2025-02-16T23:41:53Z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0x0101003EB32A9926531A418C786B1BB58EB4B4</vt:lpwstr>
  </property>
  <property fmtid="{D5CDD505-2E9C-101B-9397-08002B2CF9AE}" pid="3" name="AuthorIds_UIVersion_1024">
    <vt:lpwstr>14</vt:lpwstr>
  </property>
</Properties>
</file>